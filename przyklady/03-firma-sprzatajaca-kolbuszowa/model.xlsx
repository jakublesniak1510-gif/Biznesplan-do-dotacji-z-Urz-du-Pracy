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alozenia" sheetId="1" state="visible" r:id="rId3"/>
    <sheet name="Stale-2026" sheetId="2" state="visible" r:id="rId4"/>
    <sheet name="Kosztorys" sheetId="3" state="visible" r:id="rId5"/>
    <sheet name="Przychody" sheetId="4" state="visible" r:id="rId6"/>
    <sheet name="Koszty" sheetId="5" state="visible" r:id="rId7"/>
    <sheet name="Prognoza" sheetId="6" state="visible" r:id="rId8"/>
    <sheet name="Do-wniosku" sheetId="7" state="visible" r:id="rId9"/>
  </sheets>
  <definedNames>
    <definedName function="false" hidden="false" name="ark_dotacja" vbProcedure="false">Zalozenia!$B$5</definedName>
    <definedName function="false" hidden="false" name="ark_gotowka_m12" vbProcedure="false">'Do-wniosku'!$C$86</definedName>
    <definedName function="false" hidden="false" name="ark_gotowka_m12_pes" vbProcedure="false">'Do-wniosku'!$D$86</definedName>
    <definedName function="false" hidden="false" name="ark_kat_inne" vbProcedure="false">Kosztorys!$C$37</definedName>
    <definedName function="false" hidden="false" name="ark_kat_reklama" vbProcedure="false">Kosztorys!$C$35</definedName>
    <definedName function="false" hidden="false" name="ark_kat_remont" vbProcedure="false">Kosztorys!$C$36</definedName>
    <definedName function="false" hidden="false" name="ark_kat_sprzet" vbProcedure="false">Kosztorys!$C$33</definedName>
    <definedName function="false" hidden="false" name="ark_kat_towar" vbProcedure="false">Kosztorys!$C$34</definedName>
    <definedName function="false" hidden="false" name="ark_kosztorys_dotacja" vbProcedure="false">Kosztorys!$K$26</definedName>
    <definedName function="false" hidden="false" name="ark_kosztorys_razem" vbProcedure="false">Kosztorys!$K$25</definedName>
    <definedName function="false" hidden="false" name="ark_kosztorys_wklad" vbProcedure="false">Kosztorys!$K$27</definedName>
    <definedName function="false" hidden="false" name="ark_koszty_12m" vbProcedure="false">'Do-wniosku'!$C$76</definedName>
    <definedName function="false" hidden="false" name="ark_koszty_12m_pes" vbProcedure="false">'Do-wniosku'!$D$76</definedName>
    <definedName function="false" hidden="false" name="ark_koszty_stale_mies" vbProcedure="false">Koszty!$C$17</definedName>
    <definedName function="false" hidden="false" name="ark_margines" vbProcedure="false">Prognoza!$C$31</definedName>
    <definedName function="false" hidden="false" name="ark_margines_pes" vbProcedure="false">Prognoza!$C$33</definedName>
    <definedName function="false" hidden="false" name="ark_materialy_pct" vbProcedure="false">Koszty!$B$20</definedName>
    <definedName function="false" hidden="false" name="ark_min_saldo" vbProcedure="false">'Do-wniosku'!$C$87</definedName>
    <definedName function="false" hidden="false" name="ark_min_saldo_pes" vbProcedure="false">'Do-wniosku'!$D$87</definedName>
    <definedName function="false" hidden="false" name="ark_oblozenie_max" vbProcedure="false">Zalozenia!$B$33</definedName>
    <definedName function="false" hidden="false" name="ark_okres_zwrotu_mies" vbProcedure="false">'Do-wniosku'!$C$85</definedName>
    <definedName function="false" hidden="false" name="ark_okres_zwrotu_mies_pes" vbProcedure="false">'Do-wniosku'!$D$85</definedName>
    <definedName function="false" hidden="false" name="ark_pierwszy_mies_zysku" vbProcedure="false">Prognoza!$C$34</definedName>
    <definedName function="false" hidden="false" name="ark_podatek_12m" vbProcedure="false">'Do-wniosku'!$C$78</definedName>
    <definedName function="false" hidden="false" name="ark_podatek_12m_pes" vbProcedure="false">'Do-wniosku'!$D$78</definedName>
    <definedName function="false" hidden="false" name="ark_prog_rent_pelny_zus" vbProcedure="false">Prognoza!$C$29</definedName>
    <definedName function="false" hidden="false" name="ark_prog_rent_szt" vbProcedure="false">'Do-wniosku'!$C$83</definedName>
    <definedName function="false" hidden="false" name="ark_prog_rent_szt_pes" vbProcedure="false">'Do-wniosku'!$D$83</definedName>
    <definedName function="false" hidden="false" name="ark_prog_rent_zl" vbProcedure="false">'Do-wniosku'!$C$82</definedName>
    <definedName function="false" hidden="false" name="ark_prog_rent_zl_pes" vbProcedure="false">'Do-wniosku'!$D$82</definedName>
    <definedName function="false" hidden="false" name="ark_przychod_12m" vbProcedure="false">'Do-wniosku'!$C$75</definedName>
    <definedName function="false" hidden="false" name="ark_przychod_12m_pes" vbProcedure="false">'Do-wniosku'!$D$75</definedName>
    <definedName function="false" hidden="false" name="ark_przychod_sredni_od_m4" vbProcedure="false">Prognoza!$C$30</definedName>
    <definedName function="false" hidden="false" name="ark_reklama_kosztorys_dotacja" vbProcedure="false">Kosztorys!$C$35</definedName>
    <definedName function="false" hidden="false" name="ark_reklama_mies" vbProcedure="false">Koszty!$B$15</definedName>
    <definedName function="false" hidden="false" name="ark_rentownosc" vbProcedure="false">'Do-wniosku'!$C$81</definedName>
    <definedName function="false" hidden="false" name="ark_rentownosc_pes" vbProcedure="false">'Do-wniosku'!$D$81</definedName>
    <definedName function="false" hidden="false" name="ark_wklad_wlasny" vbProcedure="false">Zalozenia!$B$7</definedName>
    <definedName function="false" hidden="false" name="ark_zdrowotna_12m" vbProcedure="false">Koszty!$O$40</definedName>
    <definedName function="false" hidden="false" name="ark_zus_m12" vbProcedure="false">Koszty!$N$30</definedName>
    <definedName function="false" hidden="false" name="ark_zwrot_z_dotacji" vbProcedure="false">'Do-wniosku'!$C$84</definedName>
    <definedName function="false" hidden="false" name="ark_zwrot_z_dotacji_pes" vbProcedure="false">'Do-wniosku'!$D$84</definedName>
    <definedName function="false" hidden="false" name="ark_zysk_brutto_12m" vbProcedure="false">'Do-wniosku'!$C$77</definedName>
    <definedName function="false" hidden="false" name="ark_zysk_brutto_12m_pes" vbProcedure="false">'Do-wniosku'!$D$77</definedName>
    <definedName function="false" hidden="false" name="ark_zysk_netto_12m" vbProcedure="false">'Do-wniosku'!$C$79</definedName>
    <definedName function="false" hidden="false" name="ark_zysk_netto_12m_pes" vbProcedure="false">'Do-wniosku'!$D$79</definedName>
    <definedName function="false" hidden="false" name="ark_zysk_netto_mies" vbProcedure="false">'Do-wniosku'!$C$80</definedName>
    <definedName function="false" hidden="false" name="ark_zysk_netto_mies_pes" vbProcedure="false">'Do-wniosku'!$D$80</definedName>
    <definedName function="false" hidden="false" name="Chorobowe" vbProcedure="false">Zalozenia!$B$17</definedName>
    <definedName function="false" hidden="false" name="DataStartu" vbProcedure="false">Zalozenia!$B$8</definedName>
    <definedName function="false" hidden="false" name="DniRobocze" vbProcedure="false">Zalozenia!$B$20</definedName>
    <definedName function="false" hidden="false" name="Dotacja" vbProcedure="false">Zalozenia!$B$5</definedName>
    <definedName function="false" hidden="false" name="DotacjaMax" vbProcedure="false">'Stale-2026'!$B$52</definedName>
    <definedName function="false" hidden="false" name="DotacjaPIT" vbProcedure="false">'Stale-2026'!$B$51</definedName>
    <definedName function="false" hidden="false" name="FormaOpodatkowania" vbProcedure="false">Zalozenia!$B$9</definedName>
    <definedName function="false" hidden="false" name="GodzinyDzien" vbProcedure="false">Zalozenia!$B$21</definedName>
    <definedName function="false" hidden="false" name="KosztorysDotacja" vbProcedure="false">Kosztorys!$K$26</definedName>
    <definedName function="false" hidden="false" name="KosztorysRazem" vbProcedure="false">Kosztorys!$K$25</definedName>
    <definedName function="false" hidden="false" name="KosztorysWklad" vbProcedure="false">Kosztorys!$K$27</definedName>
    <definedName function="false" hidden="false" name="KwotaWolna" vbProcedure="false">'Stale-2026'!$B$37</definedName>
    <definedName function="false" hidden="false" name="KwotaZmn" vbProcedure="false">'Stale-2026'!$B$41</definedName>
    <definedName function="false" hidden="false" name="LimitVAT" vbProcedure="false">'Stale-2026'!$B$45</definedName>
    <definedName function="false" hidden="false" name="LimitZdrLin" vbProcedure="false">'Stale-2026'!$B$29</definedName>
    <definedName function="false" hidden="false" name="MalyZUS" vbProcedure="false">Zalozenia!$B$15</definedName>
    <definedName function="false" hidden="false" name="MaterialyPct" vbProcedure="false">Koszty!$B$20</definedName>
    <definedName function="false" hidden="false" name="MaxDotacja" vbProcedure="false">Zalozenia!$B$6</definedName>
    <definedName function="false" hidden="false" name="MiesPref" vbProcedure="false">Zalozenia!$B$14</definedName>
    <definedName function="false" hidden="false" name="MiesUlgi" vbProcedure="false">Zalozenia!$B$12</definedName>
    <definedName function="false" hidden="false" name="MZPLimit" vbProcedure="false">'Stale-2026'!$B$50</definedName>
    <definedName function="false" hidden="false" name="PlacaMin" vbProcedure="false">'Stale-2026'!$B$6</definedName>
    <definedName function="false" hidden="false" name="PodstawaMZP" vbProcedure="false">Zalozenia!$B$16</definedName>
    <definedName function="false" hidden="false" name="PodstPelna" vbProcedure="false">'Stale-2026'!$B$10</definedName>
    <definedName function="false" hidden="false" name="PodstPref" vbProcedure="false">'Stale-2026'!$B$11</definedName>
    <definedName function="false" hidden="false" name="Preferencyjny" vbProcedure="false">Zalozenia!$B$13</definedName>
    <definedName function="false" hidden="false" name="PrefMax" vbProcedure="false">'Stale-2026'!$B$49</definedName>
    <definedName function="false" hidden="false" name="PrognozaWyn" vbProcedure="false">'Stale-2026'!$B$7</definedName>
    <definedName function="false" hidden="false" name="ProgPod" vbProcedure="false">'Stale-2026'!$B$38</definedName>
    <definedName function="false" hidden="false" name="ProgRentPrzychod" vbProcedure="false">Prognoza!$C$26</definedName>
    <definedName function="false" hidden="false" name="ProgRentSzt" vbProcedure="false">Prognoza!$C$28</definedName>
    <definedName function="false" hidden="false" name="RyczFryz" vbProcedure="false">'Stale-2026'!$B$43</definedName>
    <definedName function="false" hidden="false" name="RyczOdlicz" vbProcedure="false">'Stale-2026'!$B$35</definedName>
    <definedName function="false" hidden="false" name="RyczProg1" vbProcedure="false">'Stale-2026'!$B$30</definedName>
    <definedName function="false" hidden="false" name="RyczProg2" vbProcedure="false">'Stale-2026'!$B$31</definedName>
    <definedName function="false" hidden="false" name="SpadekPesym" vbProcedure="false">Zalozenia!$B$22</definedName>
    <definedName function="false" hidden="false" name="Stawka1" vbProcedure="false">'Stale-2026'!$B$39</definedName>
    <definedName function="false" hidden="false" name="Stawka2" vbProcedure="false">'Stale-2026'!$B$40</definedName>
    <definedName function="false" hidden="false" name="StawkaRyczaltu" vbProcedure="false">Zalozenia!$B$10</definedName>
    <definedName function="false" hidden="false" name="StawkaVAT" vbProcedure="false">Zalozenia!$B$19</definedName>
    <definedName function="false" hidden="false" name="StChor" vbProcedure="false">'Stale-2026'!$B$14</definedName>
    <definedName function="false" hidden="false" name="StEmer" vbProcedure="false">'Stale-2026'!$B$12</definedName>
    <definedName function="false" hidden="false" name="StFP" vbProcedure="false">'Stale-2026'!$B$16</definedName>
    <definedName function="false" hidden="false" name="StLiniowy" vbProcedure="false">'Stale-2026'!$B$42</definedName>
    <definedName function="false" hidden="false" name="StRent" vbProcedure="false">'Stale-2026'!$B$13</definedName>
    <definedName function="false" hidden="false" name="StWyp" vbProcedure="false">'Stale-2026'!$B$15</definedName>
    <definedName function="false" hidden="false" name="UlgaMax" vbProcedure="false">'Stale-2026'!$B$48</definedName>
    <definedName function="false" hidden="false" name="UlgaStart" vbProcedure="false">Zalozenia!$B$11</definedName>
    <definedName function="false" hidden="false" name="VATczynny" vbProcedure="false">Zalozenia!$B$18</definedName>
    <definedName function="false" hidden="false" name="VATFryz" vbProcedure="false">'Stale-2026'!$B$46</definedName>
    <definedName function="false" hidden="false" name="WkladWlasny" vbProcedure="false">Zalozenia!$B$7</definedName>
    <definedName function="false" hidden="false" name="WynIIkw26" vbProcedure="false">'Stale-2026'!$B$47</definedName>
    <definedName function="false" hidden="false" name="WynIVkw" vbProcedure="false">'Stale-2026'!$B$8</definedName>
    <definedName function="false" hidden="false" name="ZdrLin" vbProcedure="false">'Stale-2026'!$B$26</definedName>
    <definedName function="false" hidden="false" name="ZdrMin" vbProcedure="false">'Stale-2026'!$B$28</definedName>
    <definedName function="false" hidden="false" name="ZdrMinPodst" vbProcedure="false">'Stale-2026'!$B$27</definedName>
    <definedName function="false" hidden="false" name="ZdrRycz1" vbProcedure="false">'Stale-2026'!$B$32</definedName>
    <definedName function="false" hidden="false" name="ZdrRycz2" vbProcedure="false">'Stale-2026'!$B$33</definedName>
    <definedName function="false" hidden="false" name="ZdrRycz3" vbProcedure="false">'Stale-2026'!$B$34</definedName>
    <definedName function="false" hidden="false" name="ZdrSkala" vbProcedure="false">'Stale-2026'!$B$25</definedName>
    <definedName function="false" hidden="false" name="ZUSPelnyChor" vbProcedure="false">'Stale-2026'!$B$19</definedName>
    <definedName function="false" hidden="false" name="ZUSPelnyEmer" vbProcedure="false">'Stale-2026'!$B$17</definedName>
    <definedName function="false" hidden="false" name="ZUSPelnyFP" vbProcedure="false">'Stale-2026'!$B$21</definedName>
    <definedName function="false" hidden="false" name="ZUSPelnyRent" vbProcedure="false">'Stale-2026'!$B$18</definedName>
    <definedName function="false" hidden="false" name="ZUSPelnySuma" vbProcedure="false">'Stale-2026'!$B$22</definedName>
    <definedName function="false" hidden="false" name="ZUSPelnyWyp" vbProcedure="false">'Stale-2026'!$B$20</definedName>
    <definedName function="false" hidden="false" name="ZUSPrefSuma" vbProcedure="false">'Stale-2026'!$B$23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Źródło: Rozp. RM z 11.09.2025, Dz.U. 2025 poz. 1242. https://dziennikustaw.gov.pl/D2025000124201.pdf.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Źródło: Obwieszczenie MRPiPS z 19.11.2025, M.P. 2025 poz. 1206. https://monitorpolski.gov.pl/M2025000120601.pdf.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Źródło: Obwieszczenie Prezesa GUS z 22.01.2026. https://stat.gov.pl/sygnalne/komunikaty-i-obwieszczenia/lista-komunikatow-i-obwieszczen/obwieszczenie-w-sprawie-przecietnego-miesiecznego-wynagrodzenia-w-sektorze-przedsiebiorstw-wlacznie-z-wyplatami-z-zysku-w-czwartym-kwartale-2025-r-,58,49.html.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12</xdr:row>
                <xdr:rowOff>12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Źródło: art. 18 ust. 8 ustawy o s.u.s..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Źródło: art. 18a ustawy o s.u.s..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Źródło: ustawa o s.u.s..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Źródło: ustawa o s.u.s..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Źródło: ustawa o s.u.s..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Źródło: rok składkowy 04.2026–03.2027. https://poradnikprzedsiebiorcy.pl/-skladka-wypadkowa-jak-ustalic-wlasciwa-stope-procentowa.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21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Źródło: ustawa o promocji zatrudnienia. https://zielonalinia.gov.pl/stawki-zus-dla-przedsiebiorcow-46392/.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Źródło: ustawa o świadczeniach opieki zdrowotnej.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Źródło: ustawa o świadczeniach opieki zdrowotnej.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Źródło: od 01.02.2026 (w 2025: 75%).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Źródło: wyliczenie.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21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Źródło: 2026.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21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Źródło: ustawa o świad. opieki zdr..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Źródło: ustawa o świad. opieki zdr.. https://www.infakt.pl/blog/?p=81462.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Źródło: wyliczenie. https://inewi.pl/blog/skladki-zus-dla-przedsiebiorcow-ile-wyniosa.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Źródło: ustawa o ryczałcie. https://sum.money/pl/zus-jdg-ulga-na-start/.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Źródło: ustawa o PIT, art. 27.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Źródło: ustawa o PIT, art. 27.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Źródło: ustawa o PIT, art. 27.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Źródło: ustawa o PIT, art. 27.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Źródło: wyliczenie.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Źródło: ustawa o PIT, art. 30c. https://poradnikprzedsiebiorcy.pl/-skala-podatkowa-nowy-prog-podatkowy-i-kwota-wolna.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Źródło: ustawa o ryczałcie, art. 12. https://firmove.pl/aktualnosci/finanse/podatki/ryczalt-a-uslugi-fryzjerskie-wszystko-co-warto-wiedziec.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21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Źródło: art. 113 ustawy o VAT, nowelizacja z 24.06.2025, od 01.01.2026. https://www.podatki.biz/artykuly/nowy-limit-zwolnienia-podmiotowego-z-vat-w-2026-r-mf-o-przepisach-przejsciowych_4_60302.htm.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7</xdr:row>
                <xdr:rowOff>19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Źródło: rozporządzenie MF – stawki obniżone. https://www.podatki.biz/artykuly/obnizona-stawka-vat-w-2024-r-8-takze-dla-uslug-kosmetycznych_4_54561.htm.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6</xdr:row>
                <xdr:rowOff>5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Źródło: Obwieszczenie Prezesa GUS z 20.07.2026, M.P. 2026 poz. 720. https://eli.gov.pl/eli/MP/2026/720/ogl/pol/pdf.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5</xdr:row>
                <xdr:rowOff>6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Źródło: art. 18 ust. 1 Prawa przedsiębiorców. https://sum.money/pl/zus-jdg-ulga-na-start/.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4</xdr:row>
                <xdr:rowOff>11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Źródło: art. 18a ustawy o s.u.s.. https://sum.money/pl/zus-jdg-ulga-na-start/. Sprawdzono 14.10.2026.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[do weryfikacji]: Warunki (m.in. 60 dni działalności w poprzednim roku, 36 mies. w okresie 60 mies., podstawa = 50% średniego dochodu) – nie potwierdzono w źródle pierwotnym w tej sesji.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6</xdr:row>
                <xdr:rowOff>5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[do weryfikacji]: Wiedza ogólna – nie potwierdzono w tej sesji. Skutek: wydatki sfinansowane dotacją (w tym amortyzacja) nie są kosztem podatkowym – model nie ujmuje zakupów w kosztach.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6</xdr:row>
                <xdr:rowOff>5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[do weryfikacji]: Faktyczny limit ustala każdy PUP w naborze (przykłady 2026: 25–40 tys. zł) – wpisz w Zalozenia!B6.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-236</xdr:colOff>
                <xdr:row>3</xdr:row>
                <xdr:rowOff>36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33" authorId="0">
      <text>
        <r>
          <rPr>
            <sz val="10"/>
            <rFont val="Arial"/>
            <family val="2"/>
          </rPr>
          <t xml:space="preserve">Przykładowy limit – sprawdź regulamin swojego PUP i wpisz właściwy.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18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Zakup od osoby prywatnej – bez VAT. Kupujący płaci 2% PCC od wartości &gt; 1000 zł (tu 30 zł – poza dotacją). Wymagana umowa kupna-sprzedaży i zwykle oświadczenie, że sprzęt nie był kupiony ze środków publicznych w ostatnich 7 latach.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8</xdr:row>
                <xdr:rowOff>1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9" authorId="0">
      <text>
        <r>
          <rPr>
            <sz val="10"/>
            <rFont val="Arial"/>
            <family val="2"/>
          </rPr>
          <t xml:space="preserve">Edytowalny: jaki % docelowej sprzedaży osiągniesz w danym miesiącu działalności (m1 40%, m2 60%, m3 80%, od m4 100%).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-103</xdr:colOff>
                <xdr:row>4</xdr:row>
                <xdr:rowOff>16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Przykład fryzjerki: szczyt w grudniu (święta, sylwester), maj–czerwiec (śluby, komunie), dołek w styczniu–lutym. Średnia powinna być bliska 1,00.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-103</xdr:colOff>
                <xdr:row>4</xdr:row>
                <xdr:rowOff>46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Fryzjerka mobilna nie wynajmuje lokalu.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Usługi w domu klienta – media po stronie klienta.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Ok. 1 300 km/mies. dojazdów do klientów.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Reklamy FB/Instagram, druk.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Udział materiałów w przychodzie. Fryzjer: zwykle 10–15% (farby, oksydanty, szampony).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3</xdr:row>
                <xdr:rowOff>18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K5" authorId="0">
      <text>
        <r>
          <rPr>
            <sz val="10"/>
            <rFont val="Arial"/>
            <family val="2"/>
          </rPr>
          <t xml:space="preserve">Dotacja (wpływ) + wkład własny (wpływ) − wszystkie zakupy z kosztorysu (kwota do rozliczenia). U czynnego VAT-owca liczone netto: VAT odliczony od zakupów z dotacji zwraca się do PUP.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75</xdr:colOff>
                <xdr:row>5</xdr:row>
                <xdr:rowOff>12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<sst xmlns="http://schemas.openxmlformats.org/spreadsheetml/2006/main" count="673" uniqueCount="453">
  <si>
    <t xml:space="preserve">Założenia modelu finansowego – wniosek o dofinansowanie z PUP</t>
  </si>
  <si>
    <t xml:space="preserve">Żółte komórki z niebieską czcionką = dane do wpisania. Pozostałe komórki liczą się same (formuły). Przykład: fryzjerka mobilna – DANE FIKCYJNE, do podmiany.</t>
  </si>
  <si>
    <t xml:space="preserve">Parametr</t>
  </si>
  <si>
    <t xml:space="preserve">Wartość</t>
  </si>
  <si>
    <t xml:space="preserve">Opis / skąd wziąć</t>
  </si>
  <si>
    <t xml:space="preserve">Legenda kolorów</t>
  </si>
  <si>
    <t xml:space="preserve">Nazwa / branża</t>
  </si>
  <si>
    <t xml:space="preserve">Firma sprzątająca – Kolbuszowa (DANE FIKCYJNE – przykład)</t>
  </si>
  <si>
    <t xml:space="preserve">Tylko opis – nie wpływa na obliczenia.</t>
  </si>
  <si>
    <t xml:space="preserve">Dane do wpisania</t>
  </si>
  <si>
    <t xml:space="preserve">Kwota dotacji z PUP (zł)</t>
  </si>
  <si>
    <t xml:space="preserve">Kwota, o którą wnioskujesz. Powinna odpowiadać sumie pozycji kosztorysu finansowanych z dotacji.</t>
  </si>
  <si>
    <t xml:space="preserve">Formuła w tym arkuszu</t>
  </si>
  <si>
    <t xml:space="preserve">Maksymalna kwota dotacji wg ogłoszenia naboru (zł)</t>
  </si>
  <si>
    <t xml:space="preserve">Z ogłoszenia/regulaminu Twojego PUP (każdy urząd ustala własny limit, ustawowo do 6-krotności przeciętnego wynagrodzenia).</t>
  </si>
  <si>
    <t xml:space="preserve">Odwołanie do innego arkusza</t>
  </si>
  <si>
    <t xml:space="preserve">Wkład własny – gotówka wniesiona na start (zł)</t>
  </si>
  <si>
    <t xml:space="preserve">Pieniądze własne przeznaczone na zakupy z kosztorysu (finansowanie: wkład własny) i rezerwę na start.</t>
  </si>
  <si>
    <t xml:space="preserve">Data rozpoczęcia działalności</t>
  </si>
  <si>
    <t xml:space="preserve">Planowana data wpisu do CEIDG (zwykle po podpisaniu umowy z PUP). Miesiąc 1 modelu = miesiąc tej daty.</t>
  </si>
  <si>
    <t xml:space="preserve">Forma opodatkowania</t>
  </si>
  <si>
    <t xml:space="preserve">ryczałt</t>
  </si>
  <si>
    <t xml:space="preserve">skala / liniowy / ryczałt (wybierz z listy).</t>
  </si>
  <si>
    <t xml:space="preserve">Stawka ryczałtu (gdy forma = ryczałt)</t>
  </si>
  <si>
    <t xml:space="preserve">Np. 8,5% usługi (w tym fryzjerskie), 3% handel, 5,5% roboty budowlane. Sprawdź stawkę dla swojego PKD/PKWiU.</t>
  </si>
  <si>
    <t xml:space="preserve">Ulga na start (6 mies. bez składek społecznych)</t>
  </si>
  <si>
    <t xml:space="preserve">TAK</t>
  </si>
  <si>
    <t xml:space="preserve">TAK / NIE. Tylko gdy w ostatnich 60 mies. nie prowadziłeś działalności i nie zakładasz firmy u byłego pracodawcy.</t>
  </si>
  <si>
    <t xml:space="preserve">Liczba miesięcy ulgi na start</t>
  </si>
  <si>
    <t xml:space="preserve">Ustawowo do 6 pełnych miesięcy kalendarzowych (model liczy od miesiąca 1).</t>
  </si>
  <si>
    <t xml:space="preserve">Preferencyjne składki ZUS ("mały ZUS")</t>
  </si>
  <si>
    <t xml:space="preserve">TAK / NIE. Podstawa 30% płacy minimalnej przez 24 mies. po uldze na start.</t>
  </si>
  <si>
    <t xml:space="preserve">Liczba miesięcy składek preferencyjnych</t>
  </si>
  <si>
    <t xml:space="preserve">Ustawowo 24 miesiące kalendarzowe.</t>
  </si>
  <si>
    <t xml:space="preserve">Mały ZUS plus (opcjonalnie, po okresie preferencyjnym)</t>
  </si>
  <si>
    <t xml:space="preserve">NIE</t>
  </si>
  <si>
    <t xml:space="preserve">TAK / NIE. W pierwszych 12 mies. zwykle niedostępny (wymaga działalności w poprzednim roku i przychodu ≤ 120 000 zł). Działa w modelu tylko w miesiącach po uldze i preferencyjnym ZUS.</t>
  </si>
  <si>
    <t xml:space="preserve">Podstawa wymiaru – Mały ZUS plus (zł/mies.)</t>
  </si>
  <si>
    <t xml:space="preserve">Wpisz podstawę wyliczoną z dochodu za poprzedni rok (50% średniego miesięcznego dochodu). Model ogranicza ją do przedziału 30% płacy min. – 60% prognozowanego wynagrodzenia.</t>
  </si>
  <si>
    <t xml:space="preserve">Dobrowolne ubezpieczenie chorobowe</t>
  </si>
  <si>
    <t xml:space="preserve">TAK / NIE. Bez chorobowego nie ma zasiłku chorobowego ani macierzyńskiego z ZUS.</t>
  </si>
  <si>
    <t xml:space="preserve">Czynny podatnik VAT</t>
  </si>
  <si>
    <t xml:space="preserve">TAK / NIE. Przy zwolnieniu podmiotowym (limit 240 000 zł w 2026 r., proporcjonalnie w roku startu) wpisz NIE.</t>
  </si>
  <si>
    <t xml:space="preserve">Stawka VAT na sprzedaż (gdy czynny VAT)</t>
  </si>
  <si>
    <t xml:space="preserve">Np. 8% usługi fryzjerskie, 23% większość usług. Gdy VAT = NIE, ceny w arkuszu Przychody są kwotą przychodu.</t>
  </si>
  <si>
    <t xml:space="preserve">Dni robocze w miesiącu</t>
  </si>
  <si>
    <t xml:space="preserve">Ile dni w miesiącu realnie pracujesz.</t>
  </si>
  <si>
    <t xml:space="preserve">Godziny pracy z klientem dziennie</t>
  </si>
  <si>
    <t xml:space="preserve">Bez czasu dojazdów i przerw – służy do kontroli obłożenia w arkuszu Przychody.</t>
  </si>
  <si>
    <t xml:space="preserve">Spadek przychodów – scenariusz pesymistyczny</t>
  </si>
  <si>
    <t xml:space="preserve">Standardowo 30% (wymóg wielu komisji: co jeśli przychody będą niższe).</t>
  </si>
  <si>
    <t xml:space="preserve">Kontrole spójności (liczone automatycznie)</t>
  </si>
  <si>
    <t xml:space="preserve">Kontrola</t>
  </si>
  <si>
    <t xml:space="preserve">Wynik</t>
  </si>
  <si>
    <t xml:space="preserve">Co zrobić, gdy wynik nie jest OK</t>
  </si>
  <si>
    <t xml:space="preserve">Kwota dotacji ≤ maksymalna kwota z naboru</t>
  </si>
  <si>
    <t xml:space="preserve">Zmniejsz kwotę dotacji / kosztorys.</t>
  </si>
  <si>
    <t xml:space="preserve">Wydatki z dotacji ≤ kwota dotacji</t>
  </si>
  <si>
    <t xml:space="preserve">Przenieś część pozycji na wkład własny albo usuń pozycje.</t>
  </si>
  <si>
    <t xml:space="preserve">Kwota dotacji nierozplanowana w kosztorysie (zł)</t>
  </si>
  <si>
    <t xml:space="preserve">Komisja oczekuje, że cała dotacja jest rozpisana na pozycje.</t>
  </si>
  <si>
    <t xml:space="preserve">Limity kategorii wg regulaminu</t>
  </si>
  <si>
    <t xml:space="preserve">Zobacz tabelę limitów w arkuszu Kosztorys.</t>
  </si>
  <si>
    <t xml:space="preserve">Najniższe saldo gotówki w 12 mies. – scenariusz bazowy (zł)</t>
  </si>
  <si>
    <t xml:space="preserve">Wartość ujemna = brak płynności: zwiększ wkład własny lub obniż koszty.</t>
  </si>
  <si>
    <t xml:space="preserve">Najniższe saldo gotówki – scenariusz pesymistyczny (zł)</t>
  </si>
  <si>
    <t xml:space="preserve">Ujemne saldo w pesymistycznym scenariuszu opisz w sekcji 09 (plan B).</t>
  </si>
  <si>
    <t xml:space="preserve">Najwyższe obłożenie godzin pracy</t>
  </si>
  <si>
    <t xml:space="preserve">Powyżej 100% – plan sprzedaży jest fizycznie niewykonalny, popraw liczby.</t>
  </si>
  <si>
    <t xml:space="preserve">Przychód vs limit zwolnienia z VAT (rok startu proporcjonalnie, rok następny)</t>
  </si>
  <si>
    <t xml:space="preserve">Limit w roku startu liczony proporcjonalnie do dni działalności; w roku następnym – pełny limit (dla miesięcy objętych modelem).</t>
  </si>
  <si>
    <t xml:space="preserve">Stałe prawne i parametry na 2026 r.</t>
  </si>
  <si>
    <t xml:space="preserve">Weryfikacja: 14.10.2026. Kolumna F: 'zweryfikowano' = potwierdzone w podanym źródle; '[do weryfikacji]' = nie potwierdzono w tej sesji – sprawdź przed użyciem. Od 01.01.2027 kwoty się zmienią (płaca minimalna, podstawy ZUS, od 02.2027 składka zdrowotna).</t>
  </si>
  <si>
    <t xml:space="preserve">Jednostka</t>
  </si>
  <si>
    <t xml:space="preserve">Źródło (link)</t>
  </si>
  <si>
    <t xml:space="preserve">Akt / data źródła</t>
  </si>
  <si>
    <t xml:space="preserve">Status</t>
  </si>
  <si>
    <t xml:space="preserve">Uwagi</t>
  </si>
  <si>
    <t xml:space="preserve">A. Wynagrodzenia (podstawy do składek)</t>
  </si>
  <si>
    <t xml:space="preserve">Minimalne wynagrodzenie 2026</t>
  </si>
  <si>
    <t xml:space="preserve">zł/mies.</t>
  </si>
  <si>
    <t xml:space="preserve">https://dziennikustaw.gov.pl/D2025000124201.pdf</t>
  </si>
  <si>
    <t xml:space="preserve">Rozp. RM z 11.09.2025, Dz.U. 2025 poz. 1242</t>
  </si>
  <si>
    <t xml:space="preserve">zweryfikowano</t>
  </si>
  <si>
    <t xml:space="preserve">Tekst rozporządzenia sprawdzony w PDF Dz.U.</t>
  </si>
  <si>
    <t xml:space="preserve">Prognozowane przeciętne wynagrodzenie 2026</t>
  </si>
  <si>
    <t xml:space="preserve">https://monitorpolski.gov.pl/M2025000120601.pdf</t>
  </si>
  <si>
    <t xml:space="preserve">Obwieszczenie MRPiPS z 19.11.2025, M.P. 2025 poz. 1206</t>
  </si>
  <si>
    <t xml:space="preserve">Tekst obwieszczenia sprawdzony w PDF M.P.</t>
  </si>
  <si>
    <t xml:space="preserve">Przeciętne wynagrodzenie w sektorze przedsiębiorstw z wypłatami z zysku, IV kw. 2025</t>
  </si>
  <si>
    <t xml:space="preserve">https://stat.gov.pl/sygnalne/komunikaty-i-obwieszczenia/lista-komunikatow-i-obwieszczen/obwieszczenie-w-sprawie-przecietnego-miesiecznego-wynagrodzenia-w-sektorze-przedsiebiorstw-wlacznie-z-wyplatami-z-zysku-w-czwartym-kwartale-2025-r-,58,49.html</t>
  </si>
  <si>
    <t xml:space="preserve">Obwieszczenie Prezesa GUS z 22.01.2026</t>
  </si>
  <si>
    <t xml:space="preserve">Podstawa składki zdrowotnej na ryczałcie od 02.2026 do 01.2027. Potwierdzone też: infakt.pl (22.01.2026).</t>
  </si>
  <si>
    <t xml:space="preserve">B. Składki na ubezpieczenia społeczne</t>
  </si>
  <si>
    <t xml:space="preserve">Podstawa wymiaru – pełny ZUS (60% prognozowanego wynagrodzenia)</t>
  </si>
  <si>
    <t xml:space="preserve">https://zielonalinia.gov.pl/stawki-zus-dla-przedsiebiorcow-46392/</t>
  </si>
  <si>
    <t xml:space="preserve">art. 18 ust. 8 ustawy o s.u.s.</t>
  </si>
  <si>
    <t xml:space="preserve">Wynik: 5 652,00 zł; zielonalinia.gov.pl (stan na 29.05.2026)</t>
  </si>
  <si>
    <t xml:space="preserve">Podstawa wymiaru – preferencyjny ZUS (30% płacy minimalnej)</t>
  </si>
  <si>
    <t xml:space="preserve">art. 18a ustawy o s.u.s.</t>
  </si>
  <si>
    <t xml:space="preserve">Wynik: 1 441,80 zł</t>
  </si>
  <si>
    <t xml:space="preserve">Stopa składki emerytalnej</t>
  </si>
  <si>
    <t xml:space="preserve">%</t>
  </si>
  <si>
    <t xml:space="preserve">ustawa o s.u.s.</t>
  </si>
  <si>
    <t xml:space="preserve">Stopa składki rentowej</t>
  </si>
  <si>
    <t xml:space="preserve">Stopa składki chorobowej (dobrowolna)</t>
  </si>
  <si>
    <t xml:space="preserve">Stopa składki wypadkowej (płatnik do 9 ubezpieczonych)</t>
  </si>
  <si>
    <t xml:space="preserve">https://poradnikprzedsiebiorcy.pl/-skladka-wypadkowa-jak-ustalic-wlasciwa-stope-procentowa</t>
  </si>
  <si>
    <t xml:space="preserve">rok składkowy 04.2026–03.2027</t>
  </si>
  <si>
    <t xml:space="preserve">Stopa 50% najwyższej (3,33%). ZUS ustala ją sam dla małych płatników.</t>
  </si>
  <si>
    <t xml:space="preserve">Fundusz Pracy + Fundusz Solidarnościowy</t>
  </si>
  <si>
    <t xml:space="preserve">ustawa o promocji zatrudnienia</t>
  </si>
  <si>
    <t xml:space="preserve">Nie opłaca się, gdy podstawa &lt; minimalne wynagrodzenie (np. preferencyjny ZUS).</t>
  </si>
  <si>
    <t xml:space="preserve">Pełny ZUS – składka emerytalna</t>
  </si>
  <si>
    <t xml:space="preserve">https://inewi.pl/blog/skladki-zus-dla-przedsiebiorcow-ile-wyniosa</t>
  </si>
  <si>
    <t xml:space="preserve">wyliczenie</t>
  </si>
  <si>
    <t xml:space="preserve">1 103,27 zł</t>
  </si>
  <si>
    <t xml:space="preserve">Pełny ZUS – składka rentowa</t>
  </si>
  <si>
    <t xml:space="preserve">452,16 zł</t>
  </si>
  <si>
    <t xml:space="preserve">Pełny ZUS – składka chorobowa</t>
  </si>
  <si>
    <t xml:space="preserve">138,47 zł</t>
  </si>
  <si>
    <t xml:space="preserve">Pełny ZUS – składka wypadkowa</t>
  </si>
  <si>
    <t xml:space="preserve">94,39 zł</t>
  </si>
  <si>
    <t xml:space="preserve">Pełny ZUS – FP + FS</t>
  </si>
  <si>
    <t xml:space="preserve">Pełny ZUS – razem społeczne z chorobowym i FP</t>
  </si>
  <si>
    <t xml:space="preserve">1 926,76 zł (bez chorobowego 1 788,29 zł)</t>
  </si>
  <si>
    <t xml:space="preserve">Preferencyjny ZUS – razem społeczne z chorobowym</t>
  </si>
  <si>
    <t xml:space="preserve">456,18 zł (bez chorobowego 420,86 zł); bez FP</t>
  </si>
  <si>
    <t xml:space="preserve">C. Składka zdrowotna (rok składkowy 02.2026–01.2027)</t>
  </si>
  <si>
    <t xml:space="preserve">Składka zdrowotna – skala podatkowa (% dochodu)</t>
  </si>
  <si>
    <t xml:space="preserve">https://www.infakt.pl/blog/?p=81462</t>
  </si>
  <si>
    <t xml:space="preserve">ustawa o świadczeniach opieki zdrowotnej</t>
  </si>
  <si>
    <t xml:space="preserve">Brak odliczenia od podatku na skali.</t>
  </si>
  <si>
    <t xml:space="preserve">Składka zdrowotna – podatek liniowy (% dochodu)</t>
  </si>
  <si>
    <t xml:space="preserve">Minimalna podstawa składki zdrowotnej (skala, liniowy) = 100% płacy minimalnej</t>
  </si>
  <si>
    <t xml:space="preserve">od 01.02.2026 (w 2025: 75%)</t>
  </si>
  <si>
    <t xml:space="preserve">Ustawa przedłużająca obniżoną podstawę 75% nie weszła w życie (weto).</t>
  </si>
  <si>
    <t xml:space="preserve">Minimalna składka zdrowotna (skala, liniowy)</t>
  </si>
  <si>
    <t xml:space="preserve">432,54 zł. Za styczeń 2026 obowiązywały jeszcze kwoty z 2025 r.</t>
  </si>
  <si>
    <t xml:space="preserve">Roczny limit odliczenia składki zdrowotnej – liniowy</t>
  </si>
  <si>
    <t xml:space="preserve">zł/rok</t>
  </si>
  <si>
    <t xml:space="preserve">2026</t>
  </si>
  <si>
    <t xml:space="preserve">Potwierdzone w 2 źródłach wtórnych (infakt, zestawienia 2026); brak tekstu obwieszczenia MF w tej sesji.</t>
  </si>
  <si>
    <t xml:space="preserve">Ryczałt – próg przychodu rocznego 1</t>
  </si>
  <si>
    <t xml:space="preserve">ustawa o świad. opieki zdr.</t>
  </si>
  <si>
    <t xml:space="preserve">Ryczałt – próg przychodu rocznego 2</t>
  </si>
  <si>
    <t xml:space="preserve">Ryczałt – składka zdrowotna przy przychodzie ≤ 60 000 zł (9% × 60% WynIVkw)</t>
  </si>
  <si>
    <t xml:space="preserve">498,35 zł</t>
  </si>
  <si>
    <t xml:space="preserve">Ryczałt – składka zdrowotna przy przychodzie 60 000–300 000 zł (9% × 100%)</t>
  </si>
  <si>
    <t xml:space="preserve">830,58 zł</t>
  </si>
  <si>
    <t xml:space="preserve">Ryczałt – składka zdrowotna przy przychodzie &gt; 300 000 zł (9% × 180%)</t>
  </si>
  <si>
    <t xml:space="preserve">1 495,04 zł</t>
  </si>
  <si>
    <t xml:space="preserve">Ryczałt – część zapłaconej składki zdrowotnej odliczana od przychodu</t>
  </si>
  <si>
    <t xml:space="preserve">https://sum.money/pl/zus-jdg-ulga-na-start/</t>
  </si>
  <si>
    <t xml:space="preserve">ustawa o ryczałcie</t>
  </si>
  <si>
    <t xml:space="preserve">Źródło wtórne (zasady Polskiego Ładu, bez zmian w 2026).</t>
  </si>
  <si>
    <t xml:space="preserve">D. Podatek dochodowy</t>
  </si>
  <si>
    <t xml:space="preserve">Kwota wolna od podatku (skala)</t>
  </si>
  <si>
    <t xml:space="preserve">https://poradnikprzedsiebiorcy.pl/-skala-podatkowa-nowy-prog-podatkowy-i-kwota-wolna</t>
  </si>
  <si>
    <t xml:space="preserve">ustawa o PIT, art. 27</t>
  </si>
  <si>
    <t xml:space="preserve">Próg podatkowy (skala)</t>
  </si>
  <si>
    <t xml:space="preserve">Stawka podatku – I próg skali</t>
  </si>
  <si>
    <t xml:space="preserve">Stawka podatku – II próg skali</t>
  </si>
  <si>
    <t xml:space="preserve">Kwota zmniejszająca podatek (12% × kwota wolna)</t>
  </si>
  <si>
    <t xml:space="preserve">3 600 zł</t>
  </si>
  <si>
    <t xml:space="preserve">Podatek liniowy</t>
  </si>
  <si>
    <t xml:space="preserve">ustawa o PIT, art. 30c</t>
  </si>
  <si>
    <t xml:space="preserve">Bez kwoty wolnej.</t>
  </si>
  <si>
    <t xml:space="preserve">Ryczałt – usługi fryzjerskie (stawka referencyjna dla przykładu)</t>
  </si>
  <si>
    <t xml:space="preserve">https://firmove.pl/aktualnosci/finanse/podatki/ryczalt-a-uslugi-fryzjerskie-wszystko-co-warto-wiedziec</t>
  </si>
  <si>
    <t xml:space="preserve">ustawa o ryczałcie, art. 12</t>
  </si>
  <si>
    <t xml:space="preserve">Stawkę używaną w obliczeniach wpisujesz w Zalozenia!B10. [do weryfikacji]: przy przychodach z usług &gt; 100 000 zł/rok nadwyżka może podlegać stawce 12,5% – model tego nie liczy.</t>
  </si>
  <si>
    <t xml:space="preserve">E. VAT i inne</t>
  </si>
  <si>
    <t xml:space="preserve">Limit zwolnienia podmiotowego z VAT</t>
  </si>
  <si>
    <t xml:space="preserve">https://www.podatki.biz/artykuly/nowy-limit-zwolnienia-podmiotowego-z-vat-w-2026-r-mf-o-przepisach-przejsciowych_4_60302.htm</t>
  </si>
  <si>
    <t xml:space="preserve">art. 113 ustawy o VAT, nowelizacja z 24.06.2025, od 01.01.2026</t>
  </si>
  <si>
    <t xml:space="preserve">W roku rozpoczęcia – proporcjonalnie do okresu działalności.</t>
  </si>
  <si>
    <t xml:space="preserve">Stawka VAT – usługi fryzjerskie</t>
  </si>
  <si>
    <t xml:space="preserve">https://www.podatki.biz/artykuly/obnizona-stawka-vat-w-2024-r-8-takze-dla-uslug-kosmetycznych_4_54561.htm</t>
  </si>
  <si>
    <t xml:space="preserve">rozporządzenie MF – stawki obniżone</t>
  </si>
  <si>
    <t xml:space="preserve">Istotne tylko dla czynnego podatnika VAT.</t>
  </si>
  <si>
    <t xml:space="preserve">Przeciętne wynagrodzenie w sekt. przedsiębiorstw z wypł. z zysku, II kw. 2026 (informacyjnie)</t>
  </si>
  <si>
    <t xml:space="preserve">https://eli.gov.pl/eli/MP/2026/720/ogl/pol/pdf</t>
  </si>
  <si>
    <t xml:space="preserve">Obwieszczenie Prezesa GUS z 20.07.2026, M.P. 2026 poz. 720</t>
  </si>
  <si>
    <t xml:space="preserve">Nie używane w obliczeniach – orientacyjnie do porównań.</t>
  </si>
  <si>
    <t xml:space="preserve">Ulga na start – maksymalna liczba miesięcy</t>
  </si>
  <si>
    <t xml:space="preserve">mies.</t>
  </si>
  <si>
    <t xml:space="preserve">art. 18 ust. 1 Prawa przedsiębiorców</t>
  </si>
  <si>
    <t xml:space="preserve">Zwalnia ze składek społecznych i FP; zdrowotną płaci się.</t>
  </si>
  <si>
    <t xml:space="preserve">Preferencyjne składki – liczba miesięcy</t>
  </si>
  <si>
    <t xml:space="preserve">Mały ZUS plus – limit przychodu z poprzedniego roku</t>
  </si>
  <si>
    <t xml:space="preserve">art. 18c ustawy o s.u.s.</t>
  </si>
  <si>
    <t xml:space="preserve">[do weryfikacji]</t>
  </si>
  <si>
    <t xml:space="preserve">Warunki (m.in. 60 dni działalności w poprzednim roku, 36 mies. w okresie 60 mies., podstawa = 50% średniego dochodu) – nie potwierdzono w źródle pierwotnym w tej sesji.</t>
  </si>
  <si>
    <t xml:space="preserve">Dotacja z PUP zwolniona z podatku dochodowego</t>
  </si>
  <si>
    <t xml:space="preserve">art. 21 ust. 1 pkt 121 ustawy o PIT</t>
  </si>
  <si>
    <t xml:space="preserve">Wiedza ogólna – nie potwierdzono w tej sesji. Skutek: wydatki sfinansowane dotacją (w tym amortyzacja) nie są kosztem podatkowym – model nie ujmuje zakupów w kosztach.</t>
  </si>
  <si>
    <t xml:space="preserve">Maksymalna kwota dofinansowania – reguła ustawowa</t>
  </si>
  <si>
    <t xml:space="preserve">do 6 × przeciętne wynagrodzenie</t>
  </si>
  <si>
    <t xml:space="preserve">ustawa z 20.03.2025 o rynku pracy i służbach zatrudnienia</t>
  </si>
  <si>
    <t xml:space="preserve">Faktyczny limit ustala każdy PUP w naborze (przykłady 2026: 25–40 tys. zł) – wpisz w Zalozenia!B6.</t>
  </si>
  <si>
    <t xml:space="preserve">Kosztorys zakupów (specyfikacja wydatków)</t>
  </si>
  <si>
    <t xml:space="preserve">Wpisuj pozycje w wierszach 5–24 (żółte). Kwota do rozliczenia: netto u czynnego podatnika VAT, brutto u zwolnionego z VAT. Linki do ofert – wklej prawdziwe oferty (urząd często ich żąda).</t>
  </si>
  <si>
    <t xml:space="preserve">Lp.</t>
  </si>
  <si>
    <t xml:space="preserve">Nazwa pozycji</t>
  </si>
  <si>
    <t xml:space="preserve">Kategoria</t>
  </si>
  <si>
    <t xml:space="preserve">Nowy / używany</t>
  </si>
  <si>
    <t xml:space="preserve">Ilość</t>
  </si>
  <si>
    <t xml:space="preserve">Cena jedn. netto (zł)</t>
  </si>
  <si>
    <t xml:space="preserve">Wartość netto (zł)</t>
  </si>
  <si>
    <t xml:space="preserve">Stawka VAT</t>
  </si>
  <si>
    <t xml:space="preserve">Kwota VAT (zł)</t>
  </si>
  <si>
    <t xml:space="preserve">Wartość brutto (zł)</t>
  </si>
  <si>
    <t xml:space="preserve">Kwota do rozliczenia (zł)</t>
  </si>
  <si>
    <t xml:space="preserve">Źródło oferty (link)</t>
  </si>
  <si>
    <t xml:space="preserve">Finansowanie</t>
  </si>
  <si>
    <t xml:space="preserve">Limit kategorii wg regulaminu %</t>
  </si>
  <si>
    <t xml:space="preserve">Przekroczenie limitu?</t>
  </si>
  <si>
    <t xml:space="preserve">Odkurzacz piorący Kärcher Puzzi 10/1</t>
  </si>
  <si>
    <t xml:space="preserve">sprzęt</t>
  </si>
  <si>
    <t xml:space="preserve">nowy</t>
  </si>
  <si>
    <t xml:space="preserve">https://www.ceneo.pl/;szukaj-karcher+puzzi+10/1</t>
  </si>
  <si>
    <t xml:space="preserve">dotacja</t>
  </si>
  <si>
    <t xml:space="preserve">Odkurzacz plecakowy Kärcher BV 5/1 Bp (schody, klatki)</t>
  </si>
  <si>
    <t xml:space="preserve">https://www.ceneo.pl/;szukaj-karcher+bv+5/1</t>
  </si>
  <si>
    <t xml:space="preserve">Odkurzacz na sucho Kärcher T 10/1 Adv HEPA</t>
  </si>
  <si>
    <t xml:space="preserve">https://www.ceneo.pl/;szukaj-karcher+t+10/1+adv</t>
  </si>
  <si>
    <t xml:space="preserve">Szorowarka kompaktowa Kärcher BR 30/4 C</t>
  </si>
  <si>
    <t xml:space="preserve">https://www.ceneo.pl/;szukaj-karcher+br+30/4+c</t>
  </si>
  <si>
    <t xml:space="preserve">Myjka do okien Kärcher WV 6 Plus</t>
  </si>
  <si>
    <t xml:space="preserve">https://www.ceneo.pl/;szukaj-karcher+wv+6+plus</t>
  </si>
  <si>
    <t xml:space="preserve">Wózek serwisowy z prasą do mopów i workiem na odpady</t>
  </si>
  <si>
    <t xml:space="preserve">https://www.ceneo.pl/;szukaj-wozek+serwisowy+do+sprzatania+z+prasa</t>
  </si>
  <si>
    <t xml:space="preserve">Mopy płaskie i ściereczki z mikrofibry w 4 kolorach (system stref), uchwyty</t>
  </si>
  <si>
    <t xml:space="preserve">inne</t>
  </si>
  <si>
    <t xml:space="preserve">https://www.ceneo.pl/;szukaj-mop+plaski+mikrofibra+zestaw</t>
  </si>
  <si>
    <t xml:space="preserve">Środki czystości – koncentraty z dozownikami (Ecolabel), pierwszy zapas na 3 mies.</t>
  </si>
  <si>
    <t xml:space="preserve">towar</t>
  </si>
  <si>
    <t xml:space="preserve">[oferta hurtowni chemii profesjonalnej – do dołączenia]</t>
  </si>
  <si>
    <t xml:space="preserve">Oklejenie samochodu folią z nazwą i telefonem</t>
  </si>
  <si>
    <t xml:space="preserve">reklama</t>
  </si>
  <si>
    <t xml:space="preserve">[oferta firmy reklamowej – do dołączenia]</t>
  </si>
  <si>
    <t xml:space="preserve">Strona www – wizytówka z cennikiem i formularzem</t>
  </si>
  <si>
    <t xml:space="preserve">[oferta wykonawcy – do dołączenia]</t>
  </si>
  <si>
    <t xml:space="preserve">Parownica Kärcher SC 5 EasyFix (sprzątanie bez chemii)</t>
  </si>
  <si>
    <t xml:space="preserve">https://www.ceneo.pl/;szukaj-karcher+sc+5+easyfix</t>
  </si>
  <si>
    <t xml:space="preserve">wkład własny</t>
  </si>
  <si>
    <t xml:space="preserve">Zestaw do mycia okien Unger (ściągaczki, kij teleskopowy, wiadro)</t>
  </si>
  <si>
    <t xml:space="preserve">https://www.ceneo.pl/;szukaj-unger+zestaw+do+mycia+okien</t>
  </si>
  <si>
    <t xml:space="preserve">Drabina aluminiowa 3 × 9 szczebli</t>
  </si>
  <si>
    <t xml:space="preserve">https://www.ceneo.pl/;szukaj-drabina+aluminiowa+3x9</t>
  </si>
  <si>
    <t xml:space="preserve">Ulotki i wizytówki</t>
  </si>
  <si>
    <t xml:space="preserve">[oferta drukarni – do dołączenia]</t>
  </si>
  <si>
    <t xml:space="preserve">Odzież robocza i obuwie ochronne</t>
  </si>
  <si>
    <t xml:space="preserve">https://www.ceneo.pl/;szukaj-odziez+robocza+damska</t>
  </si>
  <si>
    <t xml:space="preserve">Środki czystości – druga część zapasu</t>
  </si>
  <si>
    <t xml:space="preserve">[oferta hurtowni – do dołączenia]</t>
  </si>
  <si>
    <t xml:space="preserve">RAZEM</t>
  </si>
  <si>
    <t xml:space="preserve">w tym finansowane z dotacji</t>
  </si>
  <si>
    <t xml:space="preserve">w tym finansowane z wkładu własnego</t>
  </si>
  <si>
    <t xml:space="preserve">Kwota dotacji (z arkusza Zalozenia)</t>
  </si>
  <si>
    <t xml:space="preserve">Pozostało do rozplanowania z dotacji (ujemne = przekroczenie)</t>
  </si>
  <si>
    <t xml:space="preserve">Limity kategorii wg regulaminu PUP (udział w kwocie dotacji)</t>
  </si>
  <si>
    <t xml:space="preserve">Limit wg regulaminu %</t>
  </si>
  <si>
    <t xml:space="preserve">Suma z dotacji (zł)</t>
  </si>
  <si>
    <t xml:space="preserve">Udział w kwocie dotacji</t>
  </si>
  <si>
    <t xml:space="preserve">remont</t>
  </si>
  <si>
    <t xml:space="preserve">Razem</t>
  </si>
  <si>
    <t xml:space="preserve">Kontrola: suma kategorii = suma z dotacji</t>
  </si>
  <si>
    <t xml:space="preserve">Prognoza przychodów – 12 miesięcy</t>
  </si>
  <si>
    <t xml:space="preserve">Sprzedaż = liczba sprzedaży przy pełnym obłożeniu × współczynnik rozruchu × mnożnik sezonowy (zaokrąglone do całych sztuk). Ceny: kwota płacona przez klienta (u czynnego VAT-owca model odejmuje VAT).</t>
  </si>
  <si>
    <t xml:space="preserve">A. Linie usług / produktów (maks. 5)</t>
  </si>
  <si>
    <t xml:space="preserve">Nazwa usługi / produktu</t>
  </si>
  <si>
    <t xml:space="preserve">Cena dla klienta (zł)</t>
  </si>
  <si>
    <t xml:space="preserve">Liczba sprzedaży / mies. (pełne obłożenie)</t>
  </si>
  <si>
    <t xml:space="preserve">Czas 1 usługi (h)</t>
  </si>
  <si>
    <t xml:space="preserve">Przychód z 1 sprzedaży (zł, netto)</t>
  </si>
  <si>
    <t xml:space="preserve">Sprzątanie biura / gabinetu – wizyta ok. 2 h</t>
  </si>
  <si>
    <t xml:space="preserve">Sprzątanie klatki schodowej – wizyta</t>
  </si>
  <si>
    <t xml:space="preserve">Mycie okna dwuskrzydłowego</t>
  </si>
  <si>
    <t xml:space="preserve">Sprzątanie jednorazowe: mieszkanie lub po remoncie (średnio)</t>
  </si>
  <si>
    <t xml:space="preserve">Pranie wykładziny lub tapicerki (średnio na zlecenie)</t>
  </si>
  <si>
    <t xml:space="preserve">B. Sezonowość wg miesiąca kalendarzowego (1,00 = przeciętny miesiąc)</t>
  </si>
  <si>
    <t xml:space="preserve">Miesiąc kalendarzowy</t>
  </si>
  <si>
    <t xml:space="preserve">sty</t>
  </si>
  <si>
    <t xml:space="preserve">lut</t>
  </si>
  <si>
    <t xml:space="preserve">mar</t>
  </si>
  <si>
    <t xml:space="preserve">kwi</t>
  </si>
  <si>
    <t xml:space="preserve">maj</t>
  </si>
  <si>
    <t xml:space="preserve">cze</t>
  </si>
  <si>
    <t xml:space="preserve">lip</t>
  </si>
  <si>
    <t xml:space="preserve">sie</t>
  </si>
  <si>
    <t xml:space="preserve">wrz</t>
  </si>
  <si>
    <t xml:space="preserve">paź</t>
  </si>
  <si>
    <t xml:space="preserve">lis</t>
  </si>
  <si>
    <t xml:space="preserve">gru</t>
  </si>
  <si>
    <t xml:space="preserve">średnia</t>
  </si>
  <si>
    <t xml:space="preserve">Mnożnik sezonowy</t>
  </si>
  <si>
    <t xml:space="preserve">C. Prognoza miesięczna</t>
  </si>
  <si>
    <t xml:space="preserve">Miesiąc działalności</t>
  </si>
  <si>
    <t xml:space="preserve">Razem 12 mies.</t>
  </si>
  <si>
    <t xml:space="preserve">Współczynnik rozruchu</t>
  </si>
  <si>
    <t xml:space="preserve">Mnożnik sezonowy (z tabeli B)</t>
  </si>
  <si>
    <t xml:space="preserve">Liczba sprzedaży (szt. / usług)</t>
  </si>
  <si>
    <t xml:space="preserve">Przychód netto (zł)</t>
  </si>
  <si>
    <t xml:space="preserve">PRZYCHÓD RAZEM (zł)</t>
  </si>
  <si>
    <t xml:space="preserve">Liczba sprzedaży razem</t>
  </si>
  <si>
    <t xml:space="preserve">D. Kontrola wykonalności (obłożenie czasu pracy)</t>
  </si>
  <si>
    <t xml:space="preserve">Godziny pracy z klientami</t>
  </si>
  <si>
    <t xml:space="preserve">Dostępne godziny (dni robocze × godziny)</t>
  </si>
  <si>
    <t xml:space="preserve">Obłożenie</t>
  </si>
  <si>
    <t xml:space="preserve">Koszty, składki ZUS, składka zdrowotna i podatek – 12 miesięcy</t>
  </si>
  <si>
    <t xml:space="preserve">Kolumna B: kwota miesięczna (żółte) lub % przychodu. ZUS wg wariantu z arkusza Zalozenia. Podatek liczony narastająco w roku kalendarzowym (zaliczki), kwota wolna i próg skali resetują się 1 stycznia.</t>
  </si>
  <si>
    <t xml:space="preserve">Rok kalendarzowy (podatkowy)</t>
  </si>
  <si>
    <t xml:space="preserve">A. Koszty stałe (zł/mies.)</t>
  </si>
  <si>
    <t xml:space="preserve">Kwota / mies.</t>
  </si>
  <si>
    <t xml:space="preserve">Czynsz / najem lokalu (nie dotyczy – sprzęt w garażu własnym)</t>
  </si>
  <si>
    <t xml:space="preserve">Media (nie dotyczy)</t>
  </si>
  <si>
    <t xml:space="preserve">Telefon i internet</t>
  </si>
  <si>
    <t xml:space="preserve">Księgowość (biuro rachunkowe, ryczałt)</t>
  </si>
  <si>
    <t xml:space="preserve">Ubezpieczenie OC działalności</t>
  </si>
  <si>
    <t xml:space="preserve">Paliwo i eksploatacja auta</t>
  </si>
  <si>
    <t xml:space="preserve">Reklama bieżąca</t>
  </si>
  <si>
    <t xml:space="preserve">Inne (worki, rękawice, konto firmowe, drobne naprawy)</t>
  </si>
  <si>
    <t xml:space="preserve">Koszty stałe razem</t>
  </si>
  <si>
    <t xml:space="preserve">B. Koszty zmienne</t>
  </si>
  <si>
    <t xml:space="preserve">Materiały i kosmetyki zużyte w usługach (% przychodu)</t>
  </si>
  <si>
    <t xml:space="preserve">→ kwoty w blokach scenariuszy poniżej</t>
  </si>
  <si>
    <t xml:space="preserve">C. Składki ZUS na ubezpieczenia społeczne (wg wariantu z Zalozen)</t>
  </si>
  <si>
    <t xml:space="preserve">Etap ZUS</t>
  </si>
  <si>
    <t xml:space="preserve">Podstawa wymiaru (zł)</t>
  </si>
  <si>
    <t xml:space="preserve">Emerytalna</t>
  </si>
  <si>
    <t xml:space="preserve">Rentowa</t>
  </si>
  <si>
    <t xml:space="preserve">Chorobowa (dobrowolna)</t>
  </si>
  <si>
    <t xml:space="preserve">Wypadkowa</t>
  </si>
  <si>
    <t xml:space="preserve">Fundusz Pracy + FS (gdy podstawa ≥ płaca minimalna)</t>
  </si>
  <si>
    <t xml:space="preserve">Składki społeczne razem</t>
  </si>
  <si>
    <t xml:space="preserve">D. Scenariusz bazowy</t>
  </si>
  <si>
    <t xml:space="preserve">Koszty stałe</t>
  </si>
  <si>
    <t xml:space="preserve">Materiały (koszty zmienne)</t>
  </si>
  <si>
    <t xml:space="preserve">Koszty operacyjne razem (bez ZUS i podatku)</t>
  </si>
  <si>
    <t xml:space="preserve">Składki społeczne ZUS</t>
  </si>
  <si>
    <t xml:space="preserve">Dochód po składkach społecznych (podstawa zdrowotnej skala/liniowy)</t>
  </si>
  <si>
    <t xml:space="preserve">Przychód narastająco w roku kalendarzowym (próg ryczałtu)</t>
  </si>
  <si>
    <t xml:space="preserve">Składka zdrowotna</t>
  </si>
  <si>
    <t xml:space="preserve">Składka zdrowotna narastająco w roku (pomocniczo)</t>
  </si>
  <si>
    <t xml:space="preserve">Odliczenie składki zdrowotnej (liniowy: do limitu; ryczałt: 50%)</t>
  </si>
  <si>
    <t xml:space="preserve">Podstawa opodatkowania w miesiącu</t>
  </si>
  <si>
    <t xml:space="preserve">Podstawa narastająco w roku</t>
  </si>
  <si>
    <t xml:space="preserve">Podatek należny narastająco w roku</t>
  </si>
  <si>
    <t xml:space="preserve">Zaliczki wpłacone narastająco w roku</t>
  </si>
  <si>
    <t xml:space="preserve">Podatek dochodowy (zaliczka za miesiąc)</t>
  </si>
  <si>
    <t xml:space="preserve">KOSZTY RAZEM (operacyjne + ZUS + zdrowotna)</t>
  </si>
  <si>
    <t xml:space="preserve">Wynik przed opodatkowaniem</t>
  </si>
  <si>
    <t xml:space="preserve">Wynik netto (po podatku)</t>
  </si>
  <si>
    <t xml:space="preserve">E. Scenariusz pesymistyczny (przychody niższe o % z Zalozenia!B22)</t>
  </si>
  <si>
    <t xml:space="preserve">Rachunek wyników i przepływy pieniężne – 12 miesięcy</t>
  </si>
  <si>
    <t xml:space="preserve">Miesiąc 0 = start: wpływ dotacji i wkładu własnego, zapłata za zakupy z kosztorysu. Scenariusz pesymistyczny w kolumnach M–R.</t>
  </si>
  <si>
    <t xml:space="preserve">SCENARIUSZ BAZOWY</t>
  </si>
  <si>
    <t xml:space="preserve">Miesiąc</t>
  </si>
  <si>
    <t xml:space="preserve">Data</t>
  </si>
  <si>
    <t xml:space="preserve">Przychody (zł)</t>
  </si>
  <si>
    <t xml:space="preserve">Koszty operacyjne (zł)</t>
  </si>
  <si>
    <t xml:space="preserve">Składki społeczne ZUS (zł)</t>
  </si>
  <si>
    <t xml:space="preserve">Składka zdrowotna (zł)</t>
  </si>
  <si>
    <t xml:space="preserve">Koszty razem (zł)</t>
  </si>
  <si>
    <t xml:space="preserve">Wynik przed opodatkowaniem (zł)</t>
  </si>
  <si>
    <t xml:space="preserve">Podatek dochodowy (zł)</t>
  </si>
  <si>
    <t xml:space="preserve">Wynik netto (zł)</t>
  </si>
  <si>
    <t xml:space="preserve">Gotówka skumulowana (zł)</t>
  </si>
  <si>
    <t xml:space="preserve">Miesiąc z zyskiem (1/0)</t>
  </si>
  <si>
    <t xml:space="preserve">Start: dotacja + wkład własny − zakupy z kosztorysu</t>
  </si>
  <si>
    <t xml:space="preserve">Próg rentowności</t>
  </si>
  <si>
    <t xml:space="preserve">Wskaźnik</t>
  </si>
  <si>
    <t xml:space="preserve">Jak liczone</t>
  </si>
  <si>
    <t xml:space="preserve">Średnie miesięczne koszty stałe z ZUS i zdrowotną (zł)</t>
  </si>
  <si>
    <t xml:space="preserve">Koszty stałe + składki społeczne + zdrowotna, średnio z 12 mies.</t>
  </si>
  <si>
    <t xml:space="preserve">Udział kosztów zmiennych w przychodzie</t>
  </si>
  <si>
    <t xml:space="preserve">Materiały jako % przychodu (arkusz Koszty).</t>
  </si>
  <si>
    <t xml:space="preserve">PRÓG RENTOWNOŚCI – przychód miesięczny (zł)</t>
  </si>
  <si>
    <t xml:space="preserve">Koszty stałe ÷ (1 − % kosztów zmiennych). Poniżej tej sprzedaży firma traci.</t>
  </si>
  <si>
    <t xml:space="preserve">Średnia cena netto jednej sprzedaży (zł)</t>
  </si>
  <si>
    <t xml:space="preserve">Przychód roczny ÷ liczba sprzedaży w roku.</t>
  </si>
  <si>
    <t xml:space="preserve">PRÓG RENTOWNOŚCI – liczba sprzedaży / mies.</t>
  </si>
  <si>
    <t xml:space="preserve">Ile usług/sztuk miesięcznie trzeba sprzedać.</t>
  </si>
  <si>
    <t xml:space="preserve">Próg rentowności po okresie ulg (pełny ZUS) – przychód miesięczny (zł)</t>
  </si>
  <si>
    <t xml:space="preserve">Jak wyżej, ale ze składkami społecznymi pełnymi (po 30 mies. ulg).</t>
  </si>
  <si>
    <t xml:space="preserve">Średni przychód miesięczny od 4. miesiąca – scenariusz bazowy (zł)</t>
  </si>
  <si>
    <t xml:space="preserve">Po okresie rozruchu.</t>
  </si>
  <si>
    <t xml:space="preserve">Margines bezpieczeństwa – scenariusz bazowy</t>
  </si>
  <si>
    <t xml:space="preserve">O ile % mogą spaść przychody, zanim firma przestanie zarabiać.</t>
  </si>
  <si>
    <t xml:space="preserve">Średni przychód miesięczny od 4. miesiąca – scenariusz pesymistyczny (zł)</t>
  </si>
  <si>
    <t xml:space="preserve">Margines bezpieczeństwa – scenariusz pesymistyczny</t>
  </si>
  <si>
    <t xml:space="preserve">Ujemny = w pesymistycznym scenariuszu firma jest poniżej progu.</t>
  </si>
  <si>
    <t xml:space="preserve">Pierwszy miesiąc z dodatnim wynikiem netto (bazowy)</t>
  </si>
  <si>
    <t xml:space="preserve">Tabele do przepisania do wniosku PUP</t>
  </si>
  <si>
    <t xml:space="preserve">Wartości liczone automatycznie z pozostałych arkuszy (scenariusz bazowy). Kwoty w zł, zaokrąglone do pełnych złotych w wyświetlaniu.</t>
  </si>
  <si>
    <t xml:space="preserve">1. Kalkulacja przewidywanych przychodów i kosztów na 12 miesięcy – układ miesięczny</t>
  </si>
  <si>
    <t xml:space="preserve">Pozycja / miesiąc działalności</t>
  </si>
  <si>
    <t xml:space="preserve">Przychody ze sprzedaży</t>
  </si>
  <si>
    <t xml:space="preserve">Koszty razem, w tym:</t>
  </si>
  <si>
    <t xml:space="preserve">– zakup materiałów i towarów</t>
  </si>
  <si>
    <t xml:space="preserve">– czynsz / najem lokalu (nie dotyczy – sprzęt w garażu własnym)</t>
  </si>
  <si>
    <t xml:space="preserve">– media (nie dotyczy)</t>
  </si>
  <si>
    <t xml:space="preserve">– telefon i internet</t>
  </si>
  <si>
    <t xml:space="preserve">– księgowość (biuro rachunkowe, ryczałt)</t>
  </si>
  <si>
    <t xml:space="preserve">– ubezpieczenie OC działalności</t>
  </si>
  <si>
    <t xml:space="preserve">– paliwo i eksploatacja auta</t>
  </si>
  <si>
    <t xml:space="preserve">– reklama bieżąca</t>
  </si>
  <si>
    <t xml:space="preserve">– inne (worki, rękawice, konto firmowe, drobne naprawy)</t>
  </si>
  <si>
    <t xml:space="preserve">– składki ZUS (społeczne)</t>
  </si>
  <si>
    <t xml:space="preserve">– składka zdrowotna</t>
  </si>
  <si>
    <t xml:space="preserve">Dochód (przychody − koszty)</t>
  </si>
  <si>
    <t xml:space="preserve">Podatek dochodowy</t>
  </si>
  <si>
    <t xml:space="preserve">Dochód netto (po podatku)</t>
  </si>
  <si>
    <t xml:space="preserve">1a. Ta sama kalkulacja – układ kwartalny</t>
  </si>
  <si>
    <t xml:space="preserve">Pozycja</t>
  </si>
  <si>
    <t xml:space="preserve">Kwartał I (mies. 1–3)</t>
  </si>
  <si>
    <t xml:space="preserve">Kwartał II (mies. 4–6)</t>
  </si>
  <si>
    <t xml:space="preserve">Kwartał III (mies. 7–9)</t>
  </si>
  <si>
    <t xml:space="preserve">Kwartał IV (mies. 10–12)</t>
  </si>
  <si>
    <t xml:space="preserve">Kontrola: suma kwartałów = suma miesięcy</t>
  </si>
  <si>
    <t xml:space="preserve">2. Specyfikacja wydatków w ramach dotacji (i wkładu własnego)</t>
  </si>
  <si>
    <t xml:space="preserve">Rodzaj wydatku (nazwa)</t>
  </si>
  <si>
    <t xml:space="preserve">Kwota netto (zł)</t>
  </si>
  <si>
    <t xml:space="preserve">VAT (zł)</t>
  </si>
  <si>
    <t xml:space="preserve">Kwota brutto (zł)</t>
  </si>
  <si>
    <t xml:space="preserve">Źródło finansowania</t>
  </si>
  <si>
    <t xml:space="preserve">Kwota z dotacji (zł)</t>
  </si>
  <si>
    <t xml:space="preserve">Wnioskowana kwota dotacji</t>
  </si>
  <si>
    <t xml:space="preserve">Wkład własny (gotówka)</t>
  </si>
  <si>
    <t xml:space="preserve">3. Wskaźniki ekonomiczne</t>
  </si>
  <si>
    <t xml:space="preserve">Scenariusz bazowy</t>
  </si>
  <si>
    <t xml:space="preserve">Scenariusz pesymistyczny</t>
  </si>
  <si>
    <t xml:space="preserve">Przychody w 12 mies. (zł)</t>
  </si>
  <si>
    <t xml:space="preserve">Koszty w 12 mies. (zł)</t>
  </si>
  <si>
    <t xml:space="preserve">z ZUS i zdrowotną, bez podatku</t>
  </si>
  <si>
    <t xml:space="preserve">Zysk roczny przed opodatkowaniem (zł)</t>
  </si>
  <si>
    <t xml:space="preserve">Podatek dochodowy w 12 mies. (zł)</t>
  </si>
  <si>
    <t xml:space="preserve">ZYSK ROCZNY NETTO (zł)</t>
  </si>
  <si>
    <t xml:space="preserve">Średni zysk netto miesięcznie (zł)</t>
  </si>
  <si>
    <t xml:space="preserve">Rentowność sprzedaży netto</t>
  </si>
  <si>
    <t xml:space="preserve">zysk netto ÷ przychody</t>
  </si>
  <si>
    <t xml:space="preserve">Próg rentowności – przychód miesięczny (zł)</t>
  </si>
  <si>
    <t xml:space="preserve">nie zależy od scenariusza</t>
  </si>
  <si>
    <t xml:space="preserve">Próg rentowności – liczba sprzedaży / mies.</t>
  </si>
  <si>
    <t xml:space="preserve">Zwrot z dotacji (zysk netto roczny ÷ dotacja)</t>
  </si>
  <si>
    <t xml:space="preserve">ile % dotacji firma 'zarabia' w roku</t>
  </si>
  <si>
    <t xml:space="preserve">Okres zwrotu dotacji (mies.)</t>
  </si>
  <si>
    <t xml:space="preserve">dotacja ÷ średni zysk netto mies.</t>
  </si>
  <si>
    <t xml:space="preserve">Gotówka na koniec 12. miesiąca (zł)</t>
  </si>
  <si>
    <t xml:space="preserve">Najniższe saldo gotówki w 12 mies. (zł)</t>
  </si>
  <si>
    <t xml:space="preserve">ujemne = brak płynności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</si>
</sst>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;\(#,##0.00\);\-"/>
    <numFmt numFmtId="166" formatCode="yyyy\-mm\-dd"/>
    <numFmt numFmtId="167" formatCode="0.0%"/>
    <numFmt numFmtId="168" formatCode="0"/>
    <numFmt numFmtId="169" formatCode="0.0"/>
    <numFmt numFmtId="170" formatCode="0.0%;\(0.0%\);\-"/>
    <numFmt numFmtId="171" formatCode="0.00%"/>
    <numFmt numFmtId="172" formatCode="0%"/>
    <numFmt numFmtId="173" formatCode="0.00"/>
    <numFmt numFmtId="174" formatCode="mm\.yyyy"/>
    <numFmt numFmtId="175" formatCode="#,##0;\(#,##0\);\-"/>
    <numFmt numFmtId="176" formatCode="#,##0.0;\(#,##0.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2"/>
    </font>
    <font>
      <b val="true"/>
      <sz val="10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ziennikustaw.gov.pl/D2025000124201.pdf" TargetMode="External"/><Relationship Id="rId3" Type="http://schemas.openxmlformats.org/officeDocument/2006/relationships/hyperlink" Target="https://monitorpolski.gov.pl/M2025000120601.pdf" TargetMode="External"/><Relationship Id="rId4" Type="http://schemas.openxmlformats.org/officeDocument/2006/relationships/hyperlink" Target="https://stat.gov.pl/sygnalne/komunikaty-i-obwieszczenia/lista-komunikatow-i-obwieszczen/obwieszczenie-w-sprawie-przecietnego-miesiecznego-wynagrodzenia-w-sektorze-przedsiebiorstw-wlacznie-z-wyplatami-z-zysku-w-czwartym-kwartale-2025-r-,58,49.html" TargetMode="External"/><Relationship Id="rId5" Type="http://schemas.openxmlformats.org/officeDocument/2006/relationships/hyperlink" Target="https://zielonalinia.gov.pl/stawki-zus-dla-przedsiebiorcow-46392/" TargetMode="External"/><Relationship Id="rId6" Type="http://schemas.openxmlformats.org/officeDocument/2006/relationships/hyperlink" Target="https://zielonalinia.gov.pl/stawki-zus-dla-przedsiebiorcow-46392/" TargetMode="External"/><Relationship Id="rId7" Type="http://schemas.openxmlformats.org/officeDocument/2006/relationships/hyperlink" Target="https://zielonalinia.gov.pl/stawki-zus-dla-przedsiebiorcow-46392/" TargetMode="External"/><Relationship Id="rId8" Type="http://schemas.openxmlformats.org/officeDocument/2006/relationships/hyperlink" Target="https://zielonalinia.gov.pl/stawki-zus-dla-przedsiebiorcow-46392/" TargetMode="External"/><Relationship Id="rId9" Type="http://schemas.openxmlformats.org/officeDocument/2006/relationships/hyperlink" Target="https://zielonalinia.gov.pl/stawki-zus-dla-przedsiebiorcow-46392/" TargetMode="External"/><Relationship Id="rId10" Type="http://schemas.openxmlformats.org/officeDocument/2006/relationships/hyperlink" Target="https://poradnikprzedsiebiorcy.pl/-skladka-wypadkowa-jak-ustalic-wlasciwa-stope-procentowa" TargetMode="External"/><Relationship Id="rId11" Type="http://schemas.openxmlformats.org/officeDocument/2006/relationships/hyperlink" Target="https://zielonalinia.gov.pl/stawki-zus-dla-przedsiebiorcow-46392/" TargetMode="External"/><Relationship Id="rId12" Type="http://schemas.openxmlformats.org/officeDocument/2006/relationships/hyperlink" Target="https://inewi.pl/blog/skladki-zus-dla-przedsiebiorcow-ile-wyniosa" TargetMode="External"/><Relationship Id="rId13" Type="http://schemas.openxmlformats.org/officeDocument/2006/relationships/hyperlink" Target="https://inewi.pl/blog/skladki-zus-dla-przedsiebiorcow-ile-wyniosa" TargetMode="External"/><Relationship Id="rId14" Type="http://schemas.openxmlformats.org/officeDocument/2006/relationships/hyperlink" Target="https://inewi.pl/blog/skladki-zus-dla-przedsiebiorcow-ile-wyniosa" TargetMode="External"/><Relationship Id="rId15" Type="http://schemas.openxmlformats.org/officeDocument/2006/relationships/hyperlink" Target="https://inewi.pl/blog/skladki-zus-dla-przedsiebiorcow-ile-wyniosa" TargetMode="External"/><Relationship Id="rId16" Type="http://schemas.openxmlformats.org/officeDocument/2006/relationships/hyperlink" Target="https://inewi.pl/blog/skladki-zus-dla-przedsiebiorcow-ile-wyniosa" TargetMode="External"/><Relationship Id="rId17" Type="http://schemas.openxmlformats.org/officeDocument/2006/relationships/hyperlink" Target="https://inewi.pl/blog/skladki-zus-dla-przedsiebiorcow-ile-wyniosa" TargetMode="External"/><Relationship Id="rId18" Type="http://schemas.openxmlformats.org/officeDocument/2006/relationships/hyperlink" Target="https://inewi.pl/blog/skladki-zus-dla-przedsiebiorcow-ile-wyniosa" TargetMode="External"/><Relationship Id="rId19" Type="http://schemas.openxmlformats.org/officeDocument/2006/relationships/hyperlink" Target="https://www.infakt.pl/blog/?p=81462" TargetMode="External"/><Relationship Id="rId20" Type="http://schemas.openxmlformats.org/officeDocument/2006/relationships/hyperlink" Target="https://inewi.pl/blog/skladki-zus-dla-przedsiebiorcow-ile-wyniosa" TargetMode="External"/><Relationship Id="rId21" Type="http://schemas.openxmlformats.org/officeDocument/2006/relationships/hyperlink" Target="https://www.infakt.pl/blog/?p=81462" TargetMode="External"/><Relationship Id="rId22" Type="http://schemas.openxmlformats.org/officeDocument/2006/relationships/hyperlink" Target="https://www.infakt.pl/blog/?p=81462" TargetMode="External"/><Relationship Id="rId23" Type="http://schemas.openxmlformats.org/officeDocument/2006/relationships/hyperlink" Target="https://www.infakt.pl/blog/?p=81462" TargetMode="External"/><Relationship Id="rId24" Type="http://schemas.openxmlformats.org/officeDocument/2006/relationships/hyperlink" Target="https://www.infakt.pl/blog/?p=81462" TargetMode="External"/><Relationship Id="rId25" Type="http://schemas.openxmlformats.org/officeDocument/2006/relationships/hyperlink" Target="https://www.infakt.pl/blog/?p=81462" TargetMode="External"/><Relationship Id="rId26" Type="http://schemas.openxmlformats.org/officeDocument/2006/relationships/hyperlink" Target="https://inewi.pl/blog/skladki-zus-dla-przedsiebiorcow-ile-wyniosa" TargetMode="External"/><Relationship Id="rId27" Type="http://schemas.openxmlformats.org/officeDocument/2006/relationships/hyperlink" Target="https://inewi.pl/blog/skladki-zus-dla-przedsiebiorcow-ile-wyniosa" TargetMode="External"/><Relationship Id="rId28" Type="http://schemas.openxmlformats.org/officeDocument/2006/relationships/hyperlink" Target="https://inewi.pl/blog/skladki-zus-dla-przedsiebiorcow-ile-wyniosa" TargetMode="External"/><Relationship Id="rId29" Type="http://schemas.openxmlformats.org/officeDocument/2006/relationships/hyperlink" Target="https://sum.money/pl/zus-jdg-ulga-na-start/" TargetMode="External"/><Relationship Id="rId30" Type="http://schemas.openxmlformats.org/officeDocument/2006/relationships/hyperlink" Target="https://poradnikprzedsiebiorcy.pl/-skala-podatkowa-nowy-prog-podatkowy-i-kwota-wolna" TargetMode="External"/><Relationship Id="rId31" Type="http://schemas.openxmlformats.org/officeDocument/2006/relationships/hyperlink" Target="https://poradnikprzedsiebiorcy.pl/-skala-podatkowa-nowy-prog-podatkowy-i-kwota-wolna" TargetMode="External"/><Relationship Id="rId32" Type="http://schemas.openxmlformats.org/officeDocument/2006/relationships/hyperlink" Target="https://poradnikprzedsiebiorcy.pl/-skala-podatkowa-nowy-prog-podatkowy-i-kwota-wolna" TargetMode="External"/><Relationship Id="rId33" Type="http://schemas.openxmlformats.org/officeDocument/2006/relationships/hyperlink" Target="https://poradnikprzedsiebiorcy.pl/-skala-podatkowa-nowy-prog-podatkowy-i-kwota-wolna" TargetMode="External"/><Relationship Id="rId34" Type="http://schemas.openxmlformats.org/officeDocument/2006/relationships/hyperlink" Target="https://poradnikprzedsiebiorcy.pl/-skala-podatkowa-nowy-prog-podatkowy-i-kwota-wolna" TargetMode="External"/><Relationship Id="rId35" Type="http://schemas.openxmlformats.org/officeDocument/2006/relationships/hyperlink" Target="https://poradnikprzedsiebiorcy.pl/-skala-podatkowa-nowy-prog-podatkowy-i-kwota-wolna" TargetMode="External"/><Relationship Id="rId36" Type="http://schemas.openxmlformats.org/officeDocument/2006/relationships/hyperlink" Target="https://firmove.pl/aktualnosci/finanse/podatki/ryczalt-a-uslugi-fryzjerskie-wszystko-co-warto-wiedziec" TargetMode="External"/><Relationship Id="rId37" Type="http://schemas.openxmlformats.org/officeDocument/2006/relationships/hyperlink" Target="https://www.podatki.biz/artykuly/nowy-limit-zwolnienia-podmiotowego-z-vat-w-2026-r-mf-o-przepisach-przejsciowych_4_60302.htm" TargetMode="External"/><Relationship Id="rId38" Type="http://schemas.openxmlformats.org/officeDocument/2006/relationships/hyperlink" Target="https://www.podatki.biz/artykuly/obnizona-stawka-vat-w-2024-r-8-takze-dla-uslug-kosmetycznych_4_54561.htm" TargetMode="External"/><Relationship Id="rId39" Type="http://schemas.openxmlformats.org/officeDocument/2006/relationships/hyperlink" Target="https://eli.gov.pl/eli/MP/2026/720/ogl/pol/pdf" TargetMode="External"/><Relationship Id="rId40" Type="http://schemas.openxmlformats.org/officeDocument/2006/relationships/hyperlink" Target="https://sum.money/pl/zus-jdg-ulga-na-start/" TargetMode="External"/><Relationship Id="rId41" Type="http://schemas.openxmlformats.org/officeDocument/2006/relationships/hyperlink" Target="https://sum.money/pl/zus-jdg-ulga-na-start/" TargetMode="External"/><Relationship Id="rId42" Type="http://schemas.openxmlformats.org/officeDocument/2006/relationships/hyperlink" Target="https://inewi.pl/blog/skladki-zus-dla-przedsiebiorcow-ile-wyniosa" TargetMode="External"/><Relationship Id="rId4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30"/>
    <col collapsed="false" customWidth="true" hidden="false" outlineLevel="0" max="3" min="3" style="1" width="95"/>
    <col collapsed="false" customWidth="true" hidden="false" outlineLevel="0" max="5" min="5" style="1" width="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E3" s="5" t="s">
        <v>5</v>
      </c>
    </row>
    <row r="4" customFormat="false" ht="15" hidden="false" customHeight="true" outlineLevel="0" collapsed="false">
      <c r="A4" s="6" t="s">
        <v>6</v>
      </c>
      <c r="B4" s="7" t="s">
        <v>7</v>
      </c>
      <c r="C4" s="8" t="s">
        <v>8</v>
      </c>
      <c r="E4" s="7" t="s">
        <v>9</v>
      </c>
    </row>
    <row r="5" customFormat="false" ht="15" hidden="false" customHeight="true" outlineLevel="0" collapsed="false">
      <c r="A5" s="6" t="s">
        <v>10</v>
      </c>
      <c r="B5" s="9" t="n">
        <v>24850</v>
      </c>
      <c r="C5" s="8" t="s">
        <v>11</v>
      </c>
      <c r="E5" s="10" t="s">
        <v>12</v>
      </c>
    </row>
    <row r="6" customFormat="false" ht="21.75" hidden="false" customHeight="true" outlineLevel="0" collapsed="false">
      <c r="A6" s="6" t="s">
        <v>13</v>
      </c>
      <c r="B6" s="9" t="n">
        <v>40000</v>
      </c>
      <c r="C6" s="8" t="s">
        <v>14</v>
      </c>
      <c r="E6" s="11" t="s">
        <v>15</v>
      </c>
    </row>
    <row r="7" customFormat="false" ht="15" hidden="false" customHeight="true" outlineLevel="0" collapsed="false">
      <c r="A7" s="6" t="s">
        <v>16</v>
      </c>
      <c r="B7" s="9" t="n">
        <v>8000</v>
      </c>
      <c r="C7" s="8" t="s">
        <v>17</v>
      </c>
    </row>
    <row r="8" customFormat="false" ht="15" hidden="false" customHeight="true" outlineLevel="0" collapsed="false">
      <c r="A8" s="6" t="s">
        <v>18</v>
      </c>
      <c r="B8" s="12" t="n">
        <v>46447</v>
      </c>
      <c r="C8" s="8" t="s">
        <v>19</v>
      </c>
    </row>
    <row r="9" customFormat="false" ht="15" hidden="false" customHeight="true" outlineLevel="0" collapsed="false">
      <c r="A9" s="6" t="s">
        <v>20</v>
      </c>
      <c r="B9" s="7" t="s">
        <v>21</v>
      </c>
      <c r="C9" s="8" t="s">
        <v>22</v>
      </c>
    </row>
    <row r="10" customFormat="false" ht="15" hidden="false" customHeight="true" outlineLevel="0" collapsed="false">
      <c r="A10" s="6" t="s">
        <v>23</v>
      </c>
      <c r="B10" s="13" t="n">
        <v>0.085</v>
      </c>
      <c r="C10" s="8" t="s">
        <v>24</v>
      </c>
    </row>
    <row r="11" customFormat="false" ht="15" hidden="false" customHeight="true" outlineLevel="0" collapsed="false">
      <c r="A11" s="6" t="s">
        <v>25</v>
      </c>
      <c r="B11" s="7" t="s">
        <v>26</v>
      </c>
      <c r="C11" s="8" t="s">
        <v>27</v>
      </c>
    </row>
    <row r="12" customFormat="false" ht="15" hidden="false" customHeight="true" outlineLevel="0" collapsed="false">
      <c r="A12" s="6" t="s">
        <v>28</v>
      </c>
      <c r="B12" s="14" t="n">
        <v>6</v>
      </c>
      <c r="C12" s="8" t="s">
        <v>29</v>
      </c>
    </row>
    <row r="13" customFormat="false" ht="15" hidden="false" customHeight="true" outlineLevel="0" collapsed="false">
      <c r="A13" s="6" t="s">
        <v>30</v>
      </c>
      <c r="B13" s="7" t="s">
        <v>26</v>
      </c>
      <c r="C13" s="8" t="s">
        <v>31</v>
      </c>
    </row>
    <row r="14" customFormat="false" ht="15" hidden="false" customHeight="true" outlineLevel="0" collapsed="false">
      <c r="A14" s="6" t="s">
        <v>32</v>
      </c>
      <c r="B14" s="14" t="n">
        <v>24</v>
      </c>
      <c r="C14" s="8" t="s">
        <v>33</v>
      </c>
    </row>
    <row r="15" customFormat="false" ht="21.75" hidden="false" customHeight="true" outlineLevel="0" collapsed="false">
      <c r="A15" s="6" t="s">
        <v>34</v>
      </c>
      <c r="B15" s="7" t="s">
        <v>35</v>
      </c>
      <c r="C15" s="8" t="s">
        <v>36</v>
      </c>
    </row>
    <row r="16" customFormat="false" ht="21.75" hidden="false" customHeight="true" outlineLevel="0" collapsed="false">
      <c r="A16" s="6" t="s">
        <v>37</v>
      </c>
      <c r="B16" s="9" t="n">
        <v>3000</v>
      </c>
      <c r="C16" s="8" t="s">
        <v>38</v>
      </c>
    </row>
    <row r="17" customFormat="false" ht="15" hidden="false" customHeight="true" outlineLevel="0" collapsed="false">
      <c r="A17" s="6" t="s">
        <v>39</v>
      </c>
      <c r="B17" s="7" t="s">
        <v>26</v>
      </c>
      <c r="C17" s="8" t="s">
        <v>40</v>
      </c>
    </row>
    <row r="18" customFormat="false" ht="15" hidden="false" customHeight="true" outlineLevel="0" collapsed="false">
      <c r="A18" s="6" t="s">
        <v>41</v>
      </c>
      <c r="B18" s="7" t="s">
        <v>35</v>
      </c>
      <c r="C18" s="8" t="s">
        <v>42</v>
      </c>
    </row>
    <row r="19" customFormat="false" ht="15" hidden="false" customHeight="true" outlineLevel="0" collapsed="false">
      <c r="A19" s="6" t="s">
        <v>43</v>
      </c>
      <c r="B19" s="13" t="n">
        <v>0.08</v>
      </c>
      <c r="C19" s="8" t="s">
        <v>44</v>
      </c>
    </row>
    <row r="20" customFormat="false" ht="15" hidden="false" customHeight="true" outlineLevel="0" collapsed="false">
      <c r="A20" s="6" t="s">
        <v>45</v>
      </c>
      <c r="B20" s="14" t="n">
        <v>21</v>
      </c>
      <c r="C20" s="8" t="s">
        <v>46</v>
      </c>
    </row>
    <row r="21" customFormat="false" ht="15" hidden="false" customHeight="true" outlineLevel="0" collapsed="false">
      <c r="A21" s="6" t="s">
        <v>47</v>
      </c>
      <c r="B21" s="15" t="n">
        <v>7</v>
      </c>
      <c r="C21" s="8" t="s">
        <v>48</v>
      </c>
    </row>
    <row r="22" customFormat="false" ht="15" hidden="false" customHeight="true" outlineLevel="0" collapsed="false">
      <c r="A22" s="6" t="s">
        <v>49</v>
      </c>
      <c r="B22" s="13" t="n">
        <v>0.3</v>
      </c>
      <c r="C22" s="8" t="s">
        <v>50</v>
      </c>
    </row>
    <row r="25" customFormat="false" ht="15" hidden="false" customHeight="true" outlineLevel="0" collapsed="false">
      <c r="A25" s="16" t="s">
        <v>51</v>
      </c>
    </row>
    <row r="26" customFormat="false" ht="15" hidden="false" customHeight="true" outlineLevel="0" collapsed="false">
      <c r="A26" s="4" t="s">
        <v>52</v>
      </c>
      <c r="B26" s="4" t="s">
        <v>53</v>
      </c>
      <c r="C26" s="4" t="s">
        <v>54</v>
      </c>
    </row>
    <row r="27" customFormat="false" ht="15" hidden="false" customHeight="true" outlineLevel="0" collapsed="false">
      <c r="A27" s="6" t="s">
        <v>55</v>
      </c>
      <c r="B27" s="17" t="str">
        <f aca="false">IF(Dotacja&lt;=MaxDotacja,"OK","PRZEKROCZONO")</f>
        <v>OK</v>
      </c>
      <c r="C27" s="8" t="s">
        <v>56</v>
      </c>
    </row>
    <row r="28" customFormat="false" ht="15" hidden="false" customHeight="true" outlineLevel="0" collapsed="false">
      <c r="A28" s="6" t="s">
        <v>57</v>
      </c>
      <c r="B28" s="18" t="str">
        <f aca="false">IF(KosztorysDotacja&lt;=Dotacja+0.005,"OK","PRZEKROCZONO")</f>
        <v>OK</v>
      </c>
      <c r="C28" s="8" t="s">
        <v>58</v>
      </c>
    </row>
    <row r="29" customFormat="false" ht="15" hidden="false" customHeight="true" outlineLevel="0" collapsed="false">
      <c r="A29" s="6" t="s">
        <v>59</v>
      </c>
      <c r="B29" s="19" t="n">
        <f aca="false">Dotacja-KosztorysDotacja</f>
        <v>0</v>
      </c>
      <c r="C29" s="8" t="s">
        <v>60</v>
      </c>
    </row>
    <row r="30" customFormat="false" ht="15" hidden="false" customHeight="true" outlineLevel="0" collapsed="false">
      <c r="A30" s="6" t="s">
        <v>61</v>
      </c>
      <c r="B30" s="18" t="str">
        <f aca="false">IF(COUNTIF(Kosztorys!$E$33:$E$37,"PRZEKROCZONY")=0,"OK","PRZEKROCZONY LIMIT")</f>
        <v>OK</v>
      </c>
      <c r="C30" s="8" t="s">
        <v>62</v>
      </c>
    </row>
    <row r="31" customFormat="false" ht="15" hidden="false" customHeight="true" outlineLevel="0" collapsed="false">
      <c r="A31" s="6" t="s">
        <v>63</v>
      </c>
      <c r="B31" s="19" t="n">
        <f aca="false">MIN(Prognoza!$K$5:$K$17)</f>
        <v>2649.5</v>
      </c>
      <c r="C31" s="8" t="s">
        <v>64</v>
      </c>
    </row>
    <row r="32" customFormat="false" ht="15" hidden="false" customHeight="true" outlineLevel="0" collapsed="false">
      <c r="A32" s="6" t="s">
        <v>65</v>
      </c>
      <c r="B32" s="19" t="n">
        <f aca="false">MIN(Prognoza!$R$5:$R$17)</f>
        <v>2649.5</v>
      </c>
      <c r="C32" s="8" t="s">
        <v>66</v>
      </c>
    </row>
    <row r="33" customFormat="false" ht="15" hidden="false" customHeight="true" outlineLevel="0" collapsed="false">
      <c r="A33" s="6" t="s">
        <v>67</v>
      </c>
      <c r="B33" s="20" t="n">
        <f aca="false">MAX(Przychody!$C$38:$N$38)</f>
        <v>0.863945578231293</v>
      </c>
      <c r="C33" s="8" t="s">
        <v>68</v>
      </c>
    </row>
    <row r="34" customFormat="false" ht="15" hidden="false" customHeight="true" outlineLevel="0" collapsed="false">
      <c r="A34" s="6" t="s">
        <v>69</v>
      </c>
      <c r="B34" s="18" t="str">
        <f aca="false">IF(VATczynny="TAK","czynny VAT",IF(AND(SUMIFS(Koszty!$C$33:$N$33,Koszty!$C$6:$N$6,YEAR(DataStartu))&lt;=LimitVAT*(DATE(YEAR(DataStartu),12,31)-DataStartu+1)/(DATE(YEAR(DataStartu),12,31)-DATE(YEAR(DataStartu),1,1)+1),SUMIFS(Koszty!$C$33:$N$33,Koszty!$C$6:$N$6,YEAR(DataStartu)+1)&lt;=LimitVAT),"OK (poniżej limitu)","UWAGA: możliwe przekroczenie limitu"))</f>
        <v>OK (poniżej limitu)</v>
      </c>
      <c r="C34" s="8" t="s">
        <v>70</v>
      </c>
    </row>
  </sheetData>
  <dataValidations count="6">
    <dataValidation allowBlank="true" errorStyle="stop" operator="between" showDropDown="false" showErrorMessage="false" showInputMessage="false" sqref="B9" type="list">
      <formula1>"skala,liniowy,ryczałt"</formula1>
      <formula2>0</formula2>
    </dataValidation>
    <dataValidation allowBlank="false" errorStyle="stop" operator="between" showDropDown="false" showErrorMessage="false" showInputMessage="false" sqref="B11" type="list">
      <formula1>"TAK,NIE"</formula1>
      <formula2>0</formula2>
    </dataValidation>
    <dataValidation allowBlank="false" errorStyle="stop" operator="between" showDropDown="false" showErrorMessage="false" showInputMessage="false" sqref="B13" type="list">
      <formula1>"TAK,NIE"</formula1>
      <formula2>0</formula2>
    </dataValidation>
    <dataValidation allowBlank="false" errorStyle="stop" operator="between" showDropDown="false" showErrorMessage="false" showInputMessage="false" sqref="B15" type="list">
      <formula1>"TAK,NIE"</formula1>
      <formula2>0</formula2>
    </dataValidation>
    <dataValidation allowBlank="false" errorStyle="stop" operator="between" showDropDown="false" showErrorMessage="false" showInputMessage="false" sqref="B17" type="list">
      <formula1>"TAK,NIE"</formula1>
      <formula2>0</formula2>
    </dataValidation>
    <dataValidation allowBlank="false" errorStyle="stop" operator="between" showDropDown="false" showErrorMessage="false" showInputMessage="false" sqref="B18" type="list">
      <formula1>"TAK,NIE"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48"/>
    <col collapsed="false" customWidth="true" hidden="false" outlineLevel="0" max="5" min="5" style="1" width="36"/>
    <col collapsed="false" customWidth="true" hidden="false" outlineLevel="0" max="6" min="6" style="1" width="17"/>
    <col collapsed="false" customWidth="true" hidden="false" outlineLevel="0" max="7" min="7" style="1" width="70"/>
  </cols>
  <sheetData>
    <row r="1" customFormat="false" ht="17.25" hidden="false" customHeight="true" outlineLevel="0" collapsed="false">
      <c r="A1" s="2" t="s">
        <v>71</v>
      </c>
    </row>
    <row r="2" customFormat="false" ht="15" hidden="false" customHeight="true" outlineLevel="0" collapsed="false">
      <c r="A2" s="3" t="s">
        <v>72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73</v>
      </c>
      <c r="D4" s="4" t="s">
        <v>74</v>
      </c>
      <c r="E4" s="4" t="s">
        <v>75</v>
      </c>
      <c r="F4" s="4" t="s">
        <v>76</v>
      </c>
      <c r="G4" s="4" t="s">
        <v>77</v>
      </c>
    </row>
    <row r="5" customFormat="false" ht="15" hidden="false" customHeight="true" outlineLevel="0" collapsed="false">
      <c r="A5" s="16" t="s">
        <v>78</v>
      </c>
    </row>
    <row r="6" customFormat="false" ht="23.25" hidden="false" customHeight="true" outlineLevel="0" collapsed="false">
      <c r="A6" s="21" t="s">
        <v>79</v>
      </c>
      <c r="B6" s="22" t="n">
        <v>4806</v>
      </c>
      <c r="C6" s="6" t="s">
        <v>80</v>
      </c>
      <c r="D6" s="23" t="s">
        <v>81</v>
      </c>
      <c r="E6" s="21" t="s">
        <v>82</v>
      </c>
      <c r="F6" s="24" t="s">
        <v>83</v>
      </c>
      <c r="G6" s="21" t="s">
        <v>84</v>
      </c>
    </row>
    <row r="7" customFormat="false" ht="23.25" hidden="false" customHeight="true" outlineLevel="0" collapsed="false">
      <c r="A7" s="21" t="s">
        <v>85</v>
      </c>
      <c r="B7" s="22" t="n">
        <v>9420</v>
      </c>
      <c r="C7" s="6" t="s">
        <v>80</v>
      </c>
      <c r="D7" s="23" t="s">
        <v>86</v>
      </c>
      <c r="E7" s="21" t="s">
        <v>87</v>
      </c>
      <c r="F7" s="24" t="s">
        <v>83</v>
      </c>
      <c r="G7" s="21" t="s">
        <v>88</v>
      </c>
    </row>
    <row r="8" customFormat="false" ht="23.25" hidden="false" customHeight="true" outlineLevel="0" collapsed="false">
      <c r="A8" s="21" t="s">
        <v>89</v>
      </c>
      <c r="B8" s="22" t="n">
        <v>9228.64</v>
      </c>
      <c r="C8" s="6" t="s">
        <v>80</v>
      </c>
      <c r="D8" s="23" t="s">
        <v>90</v>
      </c>
      <c r="E8" s="21" t="s">
        <v>91</v>
      </c>
      <c r="F8" s="24" t="s">
        <v>83</v>
      </c>
      <c r="G8" s="21" t="s">
        <v>92</v>
      </c>
    </row>
    <row r="9" customFormat="false" ht="15" hidden="false" customHeight="true" outlineLevel="0" collapsed="false">
      <c r="A9" s="16" t="s">
        <v>93</v>
      </c>
    </row>
    <row r="10" customFormat="false" ht="15" hidden="false" customHeight="true" outlineLevel="0" collapsed="false">
      <c r="A10" s="21" t="s">
        <v>94</v>
      </c>
      <c r="B10" s="25" t="n">
        <f aca="false">ROUND(0.6*PrognozaWyn,2)</f>
        <v>5652</v>
      </c>
      <c r="C10" s="6" t="s">
        <v>80</v>
      </c>
      <c r="D10" s="23" t="s">
        <v>95</v>
      </c>
      <c r="E10" s="21" t="s">
        <v>96</v>
      </c>
      <c r="F10" s="24" t="s">
        <v>83</v>
      </c>
      <c r="G10" s="21" t="s">
        <v>97</v>
      </c>
    </row>
    <row r="11" customFormat="false" ht="15" hidden="false" customHeight="true" outlineLevel="0" collapsed="false">
      <c r="A11" s="21" t="s">
        <v>98</v>
      </c>
      <c r="B11" s="25" t="n">
        <f aca="false">ROUND(0.3*PlacaMin,2)</f>
        <v>1441.8</v>
      </c>
      <c r="C11" s="6" t="s">
        <v>80</v>
      </c>
      <c r="D11" s="23" t="s">
        <v>95</v>
      </c>
      <c r="E11" s="21" t="s">
        <v>99</v>
      </c>
      <c r="F11" s="24" t="s">
        <v>83</v>
      </c>
      <c r="G11" s="21" t="s">
        <v>100</v>
      </c>
    </row>
    <row r="12" customFormat="false" ht="15" hidden="false" customHeight="true" outlineLevel="0" collapsed="false">
      <c r="A12" s="21" t="s">
        <v>101</v>
      </c>
      <c r="B12" s="26" t="n">
        <v>0.1952</v>
      </c>
      <c r="C12" s="6" t="s">
        <v>102</v>
      </c>
      <c r="D12" s="23" t="s">
        <v>95</v>
      </c>
      <c r="E12" s="21" t="s">
        <v>103</v>
      </c>
      <c r="F12" s="24" t="s">
        <v>83</v>
      </c>
      <c r="G12" s="21"/>
    </row>
    <row r="13" customFormat="false" ht="15" hidden="false" customHeight="true" outlineLevel="0" collapsed="false">
      <c r="A13" s="21" t="s">
        <v>104</v>
      </c>
      <c r="B13" s="26" t="n">
        <v>0.08</v>
      </c>
      <c r="C13" s="6" t="s">
        <v>102</v>
      </c>
      <c r="D13" s="23" t="s">
        <v>95</v>
      </c>
      <c r="E13" s="21" t="s">
        <v>103</v>
      </c>
      <c r="F13" s="24" t="s">
        <v>83</v>
      </c>
      <c r="G13" s="21"/>
    </row>
    <row r="14" customFormat="false" ht="15" hidden="false" customHeight="true" outlineLevel="0" collapsed="false">
      <c r="A14" s="21" t="s">
        <v>105</v>
      </c>
      <c r="B14" s="26" t="n">
        <v>0.0245</v>
      </c>
      <c r="C14" s="6" t="s">
        <v>102</v>
      </c>
      <c r="D14" s="23" t="s">
        <v>95</v>
      </c>
      <c r="E14" s="21" t="s">
        <v>103</v>
      </c>
      <c r="F14" s="24" t="s">
        <v>83</v>
      </c>
      <c r="G14" s="21"/>
    </row>
    <row r="15" customFormat="false" ht="15" hidden="false" customHeight="true" outlineLevel="0" collapsed="false">
      <c r="A15" s="21" t="s">
        <v>106</v>
      </c>
      <c r="B15" s="26" t="n">
        <v>0.0167</v>
      </c>
      <c r="C15" s="6" t="s">
        <v>102</v>
      </c>
      <c r="D15" s="23" t="s">
        <v>107</v>
      </c>
      <c r="E15" s="21" t="s">
        <v>108</v>
      </c>
      <c r="F15" s="24" t="s">
        <v>83</v>
      </c>
      <c r="G15" s="21" t="s">
        <v>109</v>
      </c>
    </row>
    <row r="16" customFormat="false" ht="15" hidden="false" customHeight="true" outlineLevel="0" collapsed="false">
      <c r="A16" s="21" t="s">
        <v>110</v>
      </c>
      <c r="B16" s="26" t="n">
        <v>0.0245</v>
      </c>
      <c r="C16" s="6" t="s">
        <v>102</v>
      </c>
      <c r="D16" s="23" t="s">
        <v>95</v>
      </c>
      <c r="E16" s="21" t="s">
        <v>111</v>
      </c>
      <c r="F16" s="24" t="s">
        <v>83</v>
      </c>
      <c r="G16" s="21" t="s">
        <v>112</v>
      </c>
    </row>
    <row r="17" customFormat="false" ht="15" hidden="false" customHeight="true" outlineLevel="0" collapsed="false">
      <c r="A17" s="21" t="s">
        <v>113</v>
      </c>
      <c r="B17" s="25" t="n">
        <f aca="false">ROUND(PodstPelna*StEmer,2)</f>
        <v>1103.27</v>
      </c>
      <c r="C17" s="6" t="s">
        <v>80</v>
      </c>
      <c r="D17" s="23" t="s">
        <v>114</v>
      </c>
      <c r="E17" s="21" t="s">
        <v>115</v>
      </c>
      <c r="F17" s="24" t="s">
        <v>83</v>
      </c>
      <c r="G17" s="21" t="s">
        <v>116</v>
      </c>
    </row>
    <row r="18" customFormat="false" ht="15" hidden="false" customHeight="true" outlineLevel="0" collapsed="false">
      <c r="A18" s="21" t="s">
        <v>117</v>
      </c>
      <c r="B18" s="25" t="n">
        <f aca="false">ROUND(PodstPelna*StRent,2)</f>
        <v>452.16</v>
      </c>
      <c r="C18" s="6" t="s">
        <v>80</v>
      </c>
      <c r="D18" s="23" t="s">
        <v>114</v>
      </c>
      <c r="E18" s="21" t="s">
        <v>115</v>
      </c>
      <c r="F18" s="24" t="s">
        <v>83</v>
      </c>
      <c r="G18" s="21" t="s">
        <v>118</v>
      </c>
    </row>
    <row r="19" customFormat="false" ht="15" hidden="false" customHeight="true" outlineLevel="0" collapsed="false">
      <c r="A19" s="21" t="s">
        <v>119</v>
      </c>
      <c r="B19" s="25" t="n">
        <f aca="false">ROUND(PodstPelna*StChor,2)</f>
        <v>138.47</v>
      </c>
      <c r="C19" s="6" t="s">
        <v>80</v>
      </c>
      <c r="D19" s="23" t="s">
        <v>114</v>
      </c>
      <c r="E19" s="21" t="s">
        <v>115</v>
      </c>
      <c r="F19" s="24" t="s">
        <v>83</v>
      </c>
      <c r="G19" s="21" t="s">
        <v>120</v>
      </c>
    </row>
    <row r="20" customFormat="false" ht="15" hidden="false" customHeight="true" outlineLevel="0" collapsed="false">
      <c r="A20" s="21" t="s">
        <v>121</v>
      </c>
      <c r="B20" s="25" t="n">
        <f aca="false">ROUND(PodstPelna*StWyp,2)</f>
        <v>94.39</v>
      </c>
      <c r="C20" s="6" t="s">
        <v>80</v>
      </c>
      <c r="D20" s="23" t="s">
        <v>114</v>
      </c>
      <c r="E20" s="21" t="s">
        <v>115</v>
      </c>
      <c r="F20" s="24" t="s">
        <v>83</v>
      </c>
      <c r="G20" s="21" t="s">
        <v>122</v>
      </c>
    </row>
    <row r="21" customFormat="false" ht="15" hidden="false" customHeight="true" outlineLevel="0" collapsed="false">
      <c r="A21" s="21" t="s">
        <v>123</v>
      </c>
      <c r="B21" s="25" t="n">
        <f aca="false">ROUND(PodstPelna*StFP,2)</f>
        <v>138.47</v>
      </c>
      <c r="C21" s="6" t="s">
        <v>80</v>
      </c>
      <c r="D21" s="23" t="s">
        <v>114</v>
      </c>
      <c r="E21" s="21" t="s">
        <v>115</v>
      </c>
      <c r="F21" s="24" t="s">
        <v>83</v>
      </c>
      <c r="G21" s="21" t="s">
        <v>120</v>
      </c>
    </row>
    <row r="22" customFormat="false" ht="15" hidden="false" customHeight="true" outlineLevel="0" collapsed="false">
      <c r="A22" s="21" t="s">
        <v>124</v>
      </c>
      <c r="B22" s="25" t="n">
        <f aca="false">ZUSPelnyEmer+ZUSPelnyRent+ZUSPelnyChor+ZUSPelnyWyp+ZUSPelnyFP</f>
        <v>1926.76</v>
      </c>
      <c r="C22" s="6" t="s">
        <v>80</v>
      </c>
      <c r="D22" s="23" t="s">
        <v>114</v>
      </c>
      <c r="E22" s="21" t="s">
        <v>115</v>
      </c>
      <c r="F22" s="24" t="s">
        <v>83</v>
      </c>
      <c r="G22" s="21" t="s">
        <v>125</v>
      </c>
    </row>
    <row r="23" customFormat="false" ht="15" hidden="false" customHeight="true" outlineLevel="0" collapsed="false">
      <c r="A23" s="21" t="s">
        <v>126</v>
      </c>
      <c r="B23" s="25" t="n">
        <f aca="false">ROUND(PodstPref*StEmer,2)+ROUND(PodstPref*StRent,2)+ROUND(PodstPref*StChor,2)+ROUND(PodstPref*StWyp,2)</f>
        <v>456.18</v>
      </c>
      <c r="C23" s="6" t="s">
        <v>80</v>
      </c>
      <c r="D23" s="23" t="s">
        <v>114</v>
      </c>
      <c r="E23" s="21" t="s">
        <v>115</v>
      </c>
      <c r="F23" s="24" t="s">
        <v>83</v>
      </c>
      <c r="G23" s="21" t="s">
        <v>127</v>
      </c>
    </row>
    <row r="24" customFormat="false" ht="15" hidden="false" customHeight="true" outlineLevel="0" collapsed="false">
      <c r="A24" s="16" t="s">
        <v>128</v>
      </c>
    </row>
    <row r="25" customFormat="false" ht="15" hidden="false" customHeight="true" outlineLevel="0" collapsed="false">
      <c r="A25" s="21" t="s">
        <v>129</v>
      </c>
      <c r="B25" s="27" t="n">
        <v>0.09</v>
      </c>
      <c r="C25" s="6" t="s">
        <v>102</v>
      </c>
      <c r="D25" s="23" t="s">
        <v>130</v>
      </c>
      <c r="E25" s="21" t="s">
        <v>131</v>
      </c>
      <c r="F25" s="24" t="s">
        <v>83</v>
      </c>
      <c r="G25" s="21" t="s">
        <v>132</v>
      </c>
    </row>
    <row r="26" customFormat="false" ht="15" hidden="false" customHeight="true" outlineLevel="0" collapsed="false">
      <c r="A26" s="21" t="s">
        <v>133</v>
      </c>
      <c r="B26" s="27" t="n">
        <v>0.049</v>
      </c>
      <c r="C26" s="6" t="s">
        <v>102</v>
      </c>
      <c r="D26" s="23" t="s">
        <v>114</v>
      </c>
      <c r="E26" s="21" t="s">
        <v>131</v>
      </c>
      <c r="F26" s="24" t="s">
        <v>83</v>
      </c>
      <c r="G26" s="21"/>
    </row>
    <row r="27" customFormat="false" ht="23.25" hidden="false" customHeight="true" outlineLevel="0" collapsed="false">
      <c r="A27" s="21" t="s">
        <v>134</v>
      </c>
      <c r="B27" s="25" t="n">
        <f aca="false">PlacaMin</f>
        <v>4806</v>
      </c>
      <c r="C27" s="6" t="s">
        <v>80</v>
      </c>
      <c r="D27" s="23" t="s">
        <v>130</v>
      </c>
      <c r="E27" s="21" t="s">
        <v>135</v>
      </c>
      <c r="F27" s="24" t="s">
        <v>83</v>
      </c>
      <c r="G27" s="21" t="s">
        <v>136</v>
      </c>
    </row>
    <row r="28" customFormat="false" ht="15" hidden="false" customHeight="true" outlineLevel="0" collapsed="false">
      <c r="A28" s="21" t="s">
        <v>137</v>
      </c>
      <c r="B28" s="25" t="n">
        <f aca="false">ROUND(0.09*ZdrMinPodst,2)</f>
        <v>432.54</v>
      </c>
      <c r="C28" s="6" t="s">
        <v>80</v>
      </c>
      <c r="D28" s="23" t="s">
        <v>130</v>
      </c>
      <c r="E28" s="21" t="s">
        <v>115</v>
      </c>
      <c r="F28" s="24" t="s">
        <v>83</v>
      </c>
      <c r="G28" s="21" t="s">
        <v>138</v>
      </c>
    </row>
    <row r="29" customFormat="false" ht="23.25" hidden="false" customHeight="true" outlineLevel="0" collapsed="false">
      <c r="A29" s="21" t="s">
        <v>139</v>
      </c>
      <c r="B29" s="22" t="n">
        <v>14100</v>
      </c>
      <c r="C29" s="6" t="s">
        <v>140</v>
      </c>
      <c r="D29" s="23" t="s">
        <v>130</v>
      </c>
      <c r="E29" s="21" t="s">
        <v>141</v>
      </c>
      <c r="F29" s="24" t="s">
        <v>83</v>
      </c>
      <c r="G29" s="21" t="s">
        <v>142</v>
      </c>
    </row>
    <row r="30" customFormat="false" ht="15" hidden="false" customHeight="true" outlineLevel="0" collapsed="false">
      <c r="A30" s="21" t="s">
        <v>143</v>
      </c>
      <c r="B30" s="22" t="n">
        <v>60000</v>
      </c>
      <c r="C30" s="6" t="s">
        <v>140</v>
      </c>
      <c r="D30" s="23" t="s">
        <v>130</v>
      </c>
      <c r="E30" s="21" t="s">
        <v>144</v>
      </c>
      <c r="F30" s="24" t="s">
        <v>83</v>
      </c>
      <c r="G30" s="21"/>
    </row>
    <row r="31" customFormat="false" ht="15" hidden="false" customHeight="true" outlineLevel="0" collapsed="false">
      <c r="A31" s="21" t="s">
        <v>145</v>
      </c>
      <c r="B31" s="22" t="n">
        <v>300000</v>
      </c>
      <c r="C31" s="6" t="s">
        <v>140</v>
      </c>
      <c r="D31" s="23" t="s">
        <v>130</v>
      </c>
      <c r="E31" s="21" t="s">
        <v>144</v>
      </c>
      <c r="F31" s="24" t="s">
        <v>83</v>
      </c>
      <c r="G31" s="21"/>
    </row>
    <row r="32" customFormat="false" ht="23.25" hidden="false" customHeight="true" outlineLevel="0" collapsed="false">
      <c r="A32" s="21" t="s">
        <v>146</v>
      </c>
      <c r="B32" s="25" t="n">
        <f aca="false">ROUND(0.09*0.6*WynIVkw,2)</f>
        <v>498.35</v>
      </c>
      <c r="C32" s="6" t="s">
        <v>80</v>
      </c>
      <c r="D32" s="23" t="s">
        <v>114</v>
      </c>
      <c r="E32" s="21" t="s">
        <v>115</v>
      </c>
      <c r="F32" s="24" t="s">
        <v>83</v>
      </c>
      <c r="G32" s="21" t="s">
        <v>147</v>
      </c>
    </row>
    <row r="33" customFormat="false" ht="23.25" hidden="false" customHeight="true" outlineLevel="0" collapsed="false">
      <c r="A33" s="21" t="s">
        <v>148</v>
      </c>
      <c r="B33" s="25" t="n">
        <f aca="false">ROUND(0.09*WynIVkw,2)</f>
        <v>830.58</v>
      </c>
      <c r="C33" s="6" t="s">
        <v>80</v>
      </c>
      <c r="D33" s="23" t="s">
        <v>114</v>
      </c>
      <c r="E33" s="21" t="s">
        <v>115</v>
      </c>
      <c r="F33" s="24" t="s">
        <v>83</v>
      </c>
      <c r="G33" s="21" t="s">
        <v>149</v>
      </c>
    </row>
    <row r="34" customFormat="false" ht="15" hidden="false" customHeight="true" outlineLevel="0" collapsed="false">
      <c r="A34" s="21" t="s">
        <v>150</v>
      </c>
      <c r="B34" s="25" t="n">
        <f aca="false">ROUND(0.09*1.8*WynIVkw,2)</f>
        <v>1495.04</v>
      </c>
      <c r="C34" s="6" t="s">
        <v>80</v>
      </c>
      <c r="D34" s="23" t="s">
        <v>114</v>
      </c>
      <c r="E34" s="21" t="s">
        <v>115</v>
      </c>
      <c r="F34" s="24" t="s">
        <v>83</v>
      </c>
      <c r="G34" s="21" t="s">
        <v>151</v>
      </c>
    </row>
    <row r="35" customFormat="false" ht="15" hidden="false" customHeight="true" outlineLevel="0" collapsed="false">
      <c r="A35" s="21" t="s">
        <v>152</v>
      </c>
      <c r="B35" s="28" t="n">
        <v>0.5</v>
      </c>
      <c r="C35" s="6" t="s">
        <v>102</v>
      </c>
      <c r="D35" s="23" t="s">
        <v>153</v>
      </c>
      <c r="E35" s="21" t="s">
        <v>154</v>
      </c>
      <c r="F35" s="24" t="s">
        <v>83</v>
      </c>
      <c r="G35" s="21" t="s">
        <v>155</v>
      </c>
    </row>
    <row r="36" customFormat="false" ht="15" hidden="false" customHeight="true" outlineLevel="0" collapsed="false">
      <c r="A36" s="16" t="s">
        <v>156</v>
      </c>
    </row>
    <row r="37" customFormat="false" ht="15" hidden="false" customHeight="true" outlineLevel="0" collapsed="false">
      <c r="A37" s="21" t="s">
        <v>157</v>
      </c>
      <c r="B37" s="22" t="n">
        <v>30000</v>
      </c>
      <c r="C37" s="6" t="s">
        <v>140</v>
      </c>
      <c r="D37" s="23" t="s">
        <v>158</v>
      </c>
      <c r="E37" s="21" t="s">
        <v>159</v>
      </c>
      <c r="F37" s="24" t="s">
        <v>83</v>
      </c>
      <c r="G37" s="21"/>
    </row>
    <row r="38" customFormat="false" ht="15" hidden="false" customHeight="true" outlineLevel="0" collapsed="false">
      <c r="A38" s="21" t="s">
        <v>160</v>
      </c>
      <c r="B38" s="22" t="n">
        <v>120000</v>
      </c>
      <c r="C38" s="6" t="s">
        <v>140</v>
      </c>
      <c r="D38" s="23" t="s">
        <v>158</v>
      </c>
      <c r="E38" s="21" t="s">
        <v>159</v>
      </c>
      <c r="F38" s="24" t="s">
        <v>83</v>
      </c>
      <c r="G38" s="21"/>
    </row>
    <row r="39" customFormat="false" ht="15" hidden="false" customHeight="true" outlineLevel="0" collapsed="false">
      <c r="A39" s="21" t="s">
        <v>161</v>
      </c>
      <c r="B39" s="28" t="n">
        <v>0.12</v>
      </c>
      <c r="C39" s="6" t="s">
        <v>102</v>
      </c>
      <c r="D39" s="23" t="s">
        <v>158</v>
      </c>
      <c r="E39" s="21" t="s">
        <v>159</v>
      </c>
      <c r="F39" s="24" t="s">
        <v>83</v>
      </c>
      <c r="G39" s="21"/>
    </row>
    <row r="40" customFormat="false" ht="15" hidden="false" customHeight="true" outlineLevel="0" collapsed="false">
      <c r="A40" s="21" t="s">
        <v>162</v>
      </c>
      <c r="B40" s="28" t="n">
        <v>0.32</v>
      </c>
      <c r="C40" s="6" t="s">
        <v>102</v>
      </c>
      <c r="D40" s="23" t="s">
        <v>158</v>
      </c>
      <c r="E40" s="21" t="s">
        <v>159</v>
      </c>
      <c r="F40" s="24" t="s">
        <v>83</v>
      </c>
      <c r="G40" s="21"/>
    </row>
    <row r="41" customFormat="false" ht="15" hidden="false" customHeight="true" outlineLevel="0" collapsed="false">
      <c r="A41" s="21" t="s">
        <v>163</v>
      </c>
      <c r="B41" s="25" t="n">
        <f aca="false">KwotaWolna*Stawka1</f>
        <v>3600</v>
      </c>
      <c r="C41" s="6" t="s">
        <v>140</v>
      </c>
      <c r="D41" s="23" t="s">
        <v>158</v>
      </c>
      <c r="E41" s="21" t="s">
        <v>115</v>
      </c>
      <c r="F41" s="24" t="s">
        <v>83</v>
      </c>
      <c r="G41" s="21" t="s">
        <v>164</v>
      </c>
    </row>
    <row r="42" customFormat="false" ht="15" hidden="false" customHeight="true" outlineLevel="0" collapsed="false">
      <c r="A42" s="21" t="s">
        <v>165</v>
      </c>
      <c r="B42" s="28" t="n">
        <v>0.19</v>
      </c>
      <c r="C42" s="6" t="s">
        <v>102</v>
      </c>
      <c r="D42" s="23" t="s">
        <v>158</v>
      </c>
      <c r="E42" s="21" t="s">
        <v>166</v>
      </c>
      <c r="F42" s="24" t="s">
        <v>83</v>
      </c>
      <c r="G42" s="21" t="s">
        <v>167</v>
      </c>
    </row>
    <row r="43" customFormat="false" ht="34.5" hidden="false" customHeight="true" outlineLevel="0" collapsed="false">
      <c r="A43" s="21" t="s">
        <v>168</v>
      </c>
      <c r="B43" s="27" t="n">
        <v>0.085</v>
      </c>
      <c r="C43" s="6" t="s">
        <v>102</v>
      </c>
      <c r="D43" s="23" t="s">
        <v>169</v>
      </c>
      <c r="E43" s="21" t="s">
        <v>170</v>
      </c>
      <c r="F43" s="24" t="s">
        <v>83</v>
      </c>
      <c r="G43" s="21" t="s">
        <v>171</v>
      </c>
    </row>
    <row r="44" customFormat="false" ht="15" hidden="false" customHeight="true" outlineLevel="0" collapsed="false">
      <c r="A44" s="16" t="s">
        <v>172</v>
      </c>
    </row>
    <row r="45" customFormat="false" ht="23.25" hidden="false" customHeight="true" outlineLevel="0" collapsed="false">
      <c r="A45" s="21" t="s">
        <v>173</v>
      </c>
      <c r="B45" s="22" t="n">
        <v>240000</v>
      </c>
      <c r="C45" s="6" t="s">
        <v>140</v>
      </c>
      <c r="D45" s="23" t="s">
        <v>174</v>
      </c>
      <c r="E45" s="21" t="s">
        <v>175</v>
      </c>
      <c r="F45" s="24" t="s">
        <v>83</v>
      </c>
      <c r="G45" s="21" t="s">
        <v>176</v>
      </c>
    </row>
    <row r="46" customFormat="false" ht="15" hidden="false" customHeight="true" outlineLevel="0" collapsed="false">
      <c r="A46" s="21" t="s">
        <v>177</v>
      </c>
      <c r="B46" s="28" t="n">
        <v>0.08</v>
      </c>
      <c r="C46" s="6" t="s">
        <v>102</v>
      </c>
      <c r="D46" s="23" t="s">
        <v>178</v>
      </c>
      <c r="E46" s="21" t="s">
        <v>179</v>
      </c>
      <c r="F46" s="24" t="s">
        <v>83</v>
      </c>
      <c r="G46" s="21" t="s">
        <v>180</v>
      </c>
    </row>
    <row r="47" customFormat="false" ht="23.25" hidden="false" customHeight="true" outlineLevel="0" collapsed="false">
      <c r="A47" s="21" t="s">
        <v>181</v>
      </c>
      <c r="B47" s="22" t="n">
        <v>9396.33</v>
      </c>
      <c r="C47" s="6" t="s">
        <v>80</v>
      </c>
      <c r="D47" s="23" t="s">
        <v>182</v>
      </c>
      <c r="E47" s="21" t="s">
        <v>183</v>
      </c>
      <c r="F47" s="24" t="s">
        <v>83</v>
      </c>
      <c r="G47" s="21" t="s">
        <v>184</v>
      </c>
    </row>
    <row r="48" customFormat="false" ht="15" hidden="false" customHeight="true" outlineLevel="0" collapsed="false">
      <c r="A48" s="21" t="s">
        <v>185</v>
      </c>
      <c r="B48" s="29" t="n">
        <v>6</v>
      </c>
      <c r="C48" s="6" t="s">
        <v>186</v>
      </c>
      <c r="D48" s="23" t="s">
        <v>153</v>
      </c>
      <c r="E48" s="21" t="s">
        <v>187</v>
      </c>
      <c r="F48" s="24" t="s">
        <v>83</v>
      </c>
      <c r="G48" s="21" t="s">
        <v>188</v>
      </c>
    </row>
    <row r="49" customFormat="false" ht="15" hidden="false" customHeight="true" outlineLevel="0" collapsed="false">
      <c r="A49" s="21" t="s">
        <v>189</v>
      </c>
      <c r="B49" s="29" t="n">
        <v>24</v>
      </c>
      <c r="C49" s="6" t="s">
        <v>186</v>
      </c>
      <c r="D49" s="23" t="s">
        <v>153</v>
      </c>
      <c r="E49" s="21" t="s">
        <v>99</v>
      </c>
      <c r="F49" s="24" t="s">
        <v>83</v>
      </c>
      <c r="G49" s="21"/>
    </row>
    <row r="50" customFormat="false" ht="34.5" hidden="false" customHeight="true" outlineLevel="0" collapsed="false">
      <c r="A50" s="21" t="s">
        <v>190</v>
      </c>
      <c r="B50" s="22" t="n">
        <v>120000</v>
      </c>
      <c r="C50" s="6" t="s">
        <v>140</v>
      </c>
      <c r="D50" s="23" t="s">
        <v>114</v>
      </c>
      <c r="E50" s="21" t="s">
        <v>191</v>
      </c>
      <c r="F50" s="30" t="s">
        <v>192</v>
      </c>
      <c r="G50" s="21" t="s">
        <v>193</v>
      </c>
    </row>
    <row r="51" customFormat="false" ht="34.5" hidden="false" customHeight="true" outlineLevel="0" collapsed="false">
      <c r="A51" s="21" t="s">
        <v>194</v>
      </c>
      <c r="B51" s="6" t="s">
        <v>26</v>
      </c>
      <c r="C51" s="6"/>
      <c r="E51" s="21" t="s">
        <v>195</v>
      </c>
      <c r="F51" s="30" t="s">
        <v>192</v>
      </c>
      <c r="G51" s="21" t="s">
        <v>196</v>
      </c>
    </row>
    <row r="52" customFormat="false" ht="23.25" hidden="false" customHeight="true" outlineLevel="0" collapsed="false">
      <c r="A52" s="21" t="s">
        <v>197</v>
      </c>
      <c r="B52" s="6" t="s">
        <v>198</v>
      </c>
      <c r="C52" s="6"/>
      <c r="E52" s="21" t="s">
        <v>199</v>
      </c>
      <c r="F52" s="30" t="s">
        <v>192</v>
      </c>
      <c r="G52" s="21" t="s">
        <v>200</v>
      </c>
    </row>
  </sheetData>
  <hyperlinks>
    <hyperlink ref="D6" r:id="rId2" display="https://dziennikustaw.gov.pl/D2025000124201.pdf"/>
    <hyperlink ref="D7" r:id="rId3" display="https://monitorpolski.gov.pl/M2025000120601.pdf"/>
    <hyperlink ref="D8" r:id="rId4" display="https://stat.gov.pl/sygnalne/komunikaty-i-obwieszczenia/lista-komunikatow-i-obwieszczen/obwieszczenie-w-sprawie-przecietnego-miesiecznego-wynagrodzenia-w-sektorze-przedsiebiorstw-wlacznie-z-wyplatami-z-zysku-w-czwartym-kwartale-2025-r-,58,49.html"/>
    <hyperlink ref="D10" r:id="rId5" display="https://zielonalinia.gov.pl/stawki-zus-dla-przedsiebiorcow-46392/"/>
    <hyperlink ref="D11" r:id="rId6" display="https://zielonalinia.gov.pl/stawki-zus-dla-przedsiebiorcow-46392/"/>
    <hyperlink ref="D12" r:id="rId7" display="https://zielonalinia.gov.pl/stawki-zus-dla-przedsiebiorcow-46392/"/>
    <hyperlink ref="D13" r:id="rId8" display="https://zielonalinia.gov.pl/stawki-zus-dla-przedsiebiorcow-46392/"/>
    <hyperlink ref="D14" r:id="rId9" display="https://zielonalinia.gov.pl/stawki-zus-dla-przedsiebiorcow-46392/"/>
    <hyperlink ref="D15" r:id="rId10" display="https://poradnikprzedsiebiorcy.pl/-skladka-wypadkowa-jak-ustalic-wlasciwa-stope-procentowa"/>
    <hyperlink ref="D16" r:id="rId11" display="https://zielonalinia.gov.pl/stawki-zus-dla-przedsiebiorcow-46392/"/>
    <hyperlink ref="D17" r:id="rId12" display="https://inewi.pl/blog/skladki-zus-dla-przedsiebiorcow-ile-wyniosa"/>
    <hyperlink ref="D18" r:id="rId13" display="https://inewi.pl/blog/skladki-zus-dla-przedsiebiorcow-ile-wyniosa"/>
    <hyperlink ref="D19" r:id="rId14" display="https://inewi.pl/blog/skladki-zus-dla-przedsiebiorcow-ile-wyniosa"/>
    <hyperlink ref="D20" r:id="rId15" display="https://inewi.pl/blog/skladki-zus-dla-przedsiebiorcow-ile-wyniosa"/>
    <hyperlink ref="D21" r:id="rId16" display="https://inewi.pl/blog/skladki-zus-dla-przedsiebiorcow-ile-wyniosa"/>
    <hyperlink ref="D22" r:id="rId17" display="https://inewi.pl/blog/skladki-zus-dla-przedsiebiorcow-ile-wyniosa"/>
    <hyperlink ref="D23" r:id="rId18" display="https://inewi.pl/blog/skladki-zus-dla-przedsiebiorcow-ile-wyniosa"/>
    <hyperlink ref="D25" r:id="rId19" display="https://www.infakt.pl/blog/?p=81462"/>
    <hyperlink ref="D26" r:id="rId20" display="https://inewi.pl/blog/skladki-zus-dla-przedsiebiorcow-ile-wyniosa"/>
    <hyperlink ref="D27" r:id="rId21" display="https://www.infakt.pl/blog/?p=81462"/>
    <hyperlink ref="D28" r:id="rId22" display="https://www.infakt.pl/blog/?p=81462"/>
    <hyperlink ref="D29" r:id="rId23" display="https://www.infakt.pl/blog/?p=81462"/>
    <hyperlink ref="D30" r:id="rId24" display="https://www.infakt.pl/blog/?p=81462"/>
    <hyperlink ref="D31" r:id="rId25" display="https://www.infakt.pl/blog/?p=81462"/>
    <hyperlink ref="D32" r:id="rId26" display="https://inewi.pl/blog/skladki-zus-dla-przedsiebiorcow-ile-wyniosa"/>
    <hyperlink ref="D33" r:id="rId27" display="https://inewi.pl/blog/skladki-zus-dla-przedsiebiorcow-ile-wyniosa"/>
    <hyperlink ref="D34" r:id="rId28" display="https://inewi.pl/blog/skladki-zus-dla-przedsiebiorcow-ile-wyniosa"/>
    <hyperlink ref="D35" r:id="rId29" display="https://sum.money/pl/zus-jdg-ulga-na-start/"/>
    <hyperlink ref="D37" r:id="rId30" display="https://poradnikprzedsiebiorcy.pl/-skala-podatkowa-nowy-prog-podatkowy-i-kwota-wolna"/>
    <hyperlink ref="D38" r:id="rId31" display="https://poradnikprzedsiebiorcy.pl/-skala-podatkowa-nowy-prog-podatkowy-i-kwota-wolna"/>
    <hyperlink ref="D39" r:id="rId32" display="https://poradnikprzedsiebiorcy.pl/-skala-podatkowa-nowy-prog-podatkowy-i-kwota-wolna"/>
    <hyperlink ref="D40" r:id="rId33" display="https://poradnikprzedsiebiorcy.pl/-skala-podatkowa-nowy-prog-podatkowy-i-kwota-wolna"/>
    <hyperlink ref="D41" r:id="rId34" display="https://poradnikprzedsiebiorcy.pl/-skala-podatkowa-nowy-prog-podatkowy-i-kwota-wolna"/>
    <hyperlink ref="D42" r:id="rId35" display="https://poradnikprzedsiebiorcy.pl/-skala-podatkowa-nowy-prog-podatkowy-i-kwota-wolna"/>
    <hyperlink ref="D43" r:id="rId36" display="https://firmove.pl/aktualnosci/finanse/podatki/ryczalt-a-uslugi-fryzjerskie-wszystko-co-warto-wiedziec"/>
    <hyperlink ref="D45" r:id="rId37" display="https://www.podatki.biz/artykuly/nowy-limit-zwolnienia-podmiotowego-z-vat-w-2026-r-mf-o-przepisach-przejsciowych_4_60302.htm"/>
    <hyperlink ref="D46" r:id="rId38" display="https://www.podatki.biz/artykuly/obnizona-stawka-vat-w-2024-r-8-takze-dla-uslug-kosmetycznych_4_54561.htm"/>
    <hyperlink ref="D47" r:id="rId39" display="https://eli.gov.pl/eli/MP/2026/720/ogl/pol/pdf"/>
    <hyperlink ref="D48" r:id="rId40" display="https://sum.money/pl/zus-jdg-ulga-na-start/"/>
    <hyperlink ref="D49" r:id="rId41" display="https://sum.money/pl/zus-jdg-ulga-na-start/"/>
    <hyperlink ref="D50" r:id="rId42" display="https://inewi.pl/blog/skladki-zus-dla-przedsiebiorcow-ile-wynios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6"/>
    <col collapsed="false" customWidth="true" hidden="false" outlineLevel="0" max="4" min="3" style="1" width="12"/>
    <col collapsed="false" customWidth="true" hidden="false" outlineLevel="0" max="5" min="5" style="1" width="7"/>
    <col collapsed="false" customWidth="true" hidden="false" outlineLevel="0" max="7" min="6" style="1" width="14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5"/>
    <col collapsed="false" customWidth="true" hidden="false" outlineLevel="0" max="12" min="12" style="1" width="40"/>
    <col collapsed="false" customWidth="true" hidden="false" outlineLevel="0" max="14" min="13" style="1" width="14"/>
    <col collapsed="false" customWidth="true" hidden="false" outlineLevel="0" max="15" min="15" style="1" width="15"/>
  </cols>
  <sheetData>
    <row r="1" customFormat="false" ht="17.25" hidden="false" customHeight="true" outlineLevel="0" collapsed="false">
      <c r="A1" s="2" t="s">
        <v>201</v>
      </c>
    </row>
    <row r="2" customFormat="false" ht="15" hidden="false" customHeight="true" outlineLevel="0" collapsed="false">
      <c r="A2" s="3" t="s">
        <v>202</v>
      </c>
    </row>
    <row r="4" customFormat="false" ht="45" hidden="false" customHeight="true" outlineLevel="0" collapsed="false">
      <c r="A4" s="4" t="s">
        <v>203</v>
      </c>
      <c r="B4" s="4" t="s">
        <v>204</v>
      </c>
      <c r="C4" s="4" t="s">
        <v>205</v>
      </c>
      <c r="D4" s="4" t="s">
        <v>206</v>
      </c>
      <c r="E4" s="4" t="s">
        <v>207</v>
      </c>
      <c r="F4" s="4" t="s">
        <v>208</v>
      </c>
      <c r="G4" s="4" t="s">
        <v>209</v>
      </c>
      <c r="H4" s="4" t="s">
        <v>210</v>
      </c>
      <c r="I4" s="4" t="s">
        <v>211</v>
      </c>
      <c r="J4" s="4" t="s">
        <v>212</v>
      </c>
      <c r="K4" s="4" t="s">
        <v>213</v>
      </c>
      <c r="L4" s="4" t="s">
        <v>214</v>
      </c>
      <c r="M4" s="4" t="s">
        <v>215</v>
      </c>
      <c r="N4" s="4" t="s">
        <v>216</v>
      </c>
      <c r="O4" s="4" t="s">
        <v>217</v>
      </c>
    </row>
    <row r="5" customFormat="false" ht="15" hidden="false" customHeight="true" outlineLevel="0" collapsed="false">
      <c r="A5" s="31" t="n">
        <v>1</v>
      </c>
      <c r="B5" s="32" t="s">
        <v>218</v>
      </c>
      <c r="C5" s="32" t="s">
        <v>219</v>
      </c>
      <c r="D5" s="32" t="s">
        <v>220</v>
      </c>
      <c r="E5" s="33" t="n">
        <v>1</v>
      </c>
      <c r="F5" s="34" t="n">
        <v>3900</v>
      </c>
      <c r="G5" s="35" t="n">
        <f aca="false">E5*F5</f>
        <v>3900</v>
      </c>
      <c r="H5" s="36" t="n">
        <v>0.23</v>
      </c>
      <c r="I5" s="35" t="n">
        <f aca="false">ROUND(G5*H5,2)</f>
        <v>897</v>
      </c>
      <c r="J5" s="35" t="n">
        <f aca="false">G5+I5</f>
        <v>4797</v>
      </c>
      <c r="K5" s="37" t="n">
        <f aca="false">IF(VATczynny="TAK",G5,J5)</f>
        <v>4797</v>
      </c>
      <c r="L5" s="32" t="s">
        <v>221</v>
      </c>
      <c r="M5" s="32" t="s">
        <v>222</v>
      </c>
      <c r="N5" s="38" t="n">
        <f aca="false">IF(C5="","",IFERROR(VLOOKUP(C5,$A$33:$B$37,2,FALSE()),"brak kategorii"))</f>
        <v>1</v>
      </c>
      <c r="O5" s="39" t="str">
        <f aca="false">IF(C5="","",IFERROR(VLOOKUP(C5,$A$33:$E$37,5,FALSE()),"brak kategorii"))</f>
        <v>OK</v>
      </c>
    </row>
    <row r="6" customFormat="false" ht="15" hidden="false" customHeight="true" outlineLevel="0" collapsed="false">
      <c r="A6" s="31" t="n">
        <v>2</v>
      </c>
      <c r="B6" s="32" t="s">
        <v>223</v>
      </c>
      <c r="C6" s="32" t="s">
        <v>219</v>
      </c>
      <c r="D6" s="32" t="s">
        <v>220</v>
      </c>
      <c r="E6" s="33" t="n">
        <v>1</v>
      </c>
      <c r="F6" s="34" t="n">
        <v>1550</v>
      </c>
      <c r="G6" s="35" t="n">
        <f aca="false">E6*F6</f>
        <v>1550</v>
      </c>
      <c r="H6" s="36" t="n">
        <v>0.23</v>
      </c>
      <c r="I6" s="35" t="n">
        <f aca="false">ROUND(G6*H6,2)</f>
        <v>356.5</v>
      </c>
      <c r="J6" s="35" t="n">
        <f aca="false">G6+I6</f>
        <v>1906.5</v>
      </c>
      <c r="K6" s="37" t="n">
        <f aca="false">IF(VATczynny="TAK",G6,J6)</f>
        <v>1906.5</v>
      </c>
      <c r="L6" s="32" t="s">
        <v>224</v>
      </c>
      <c r="M6" s="32" t="s">
        <v>222</v>
      </c>
      <c r="N6" s="38" t="n">
        <f aca="false">IF(C6="","",IFERROR(VLOOKUP(C6,$A$33:$B$37,2,FALSE()),"brak kategorii"))</f>
        <v>1</v>
      </c>
      <c r="O6" s="39" t="str">
        <f aca="false">IF(C6="","",IFERROR(VLOOKUP(C6,$A$33:$E$37,5,FALSE()),"brak kategorii"))</f>
        <v>OK</v>
      </c>
    </row>
    <row r="7" customFormat="false" ht="15" hidden="false" customHeight="true" outlineLevel="0" collapsed="false">
      <c r="A7" s="31" t="n">
        <v>3</v>
      </c>
      <c r="B7" s="32" t="s">
        <v>225</v>
      </c>
      <c r="C7" s="32" t="s">
        <v>219</v>
      </c>
      <c r="D7" s="32" t="s">
        <v>220</v>
      </c>
      <c r="E7" s="33" t="n">
        <v>1</v>
      </c>
      <c r="F7" s="34" t="n">
        <v>1100</v>
      </c>
      <c r="G7" s="35" t="n">
        <f aca="false">E7*F7</f>
        <v>1100</v>
      </c>
      <c r="H7" s="36" t="n">
        <v>0.23</v>
      </c>
      <c r="I7" s="35" t="n">
        <f aca="false">ROUND(G7*H7,2)</f>
        <v>253</v>
      </c>
      <c r="J7" s="35" t="n">
        <f aca="false">G7+I7</f>
        <v>1353</v>
      </c>
      <c r="K7" s="37" t="n">
        <f aca="false">IF(VATczynny="TAK",G7,J7)</f>
        <v>1353</v>
      </c>
      <c r="L7" s="32" t="s">
        <v>226</v>
      </c>
      <c r="M7" s="32" t="s">
        <v>222</v>
      </c>
      <c r="N7" s="38" t="n">
        <f aca="false">IF(C7="","",IFERROR(VLOOKUP(C7,$A$33:$B$37,2,FALSE()),"brak kategorii"))</f>
        <v>1</v>
      </c>
      <c r="O7" s="39" t="str">
        <f aca="false">IF(C7="","",IFERROR(VLOOKUP(C7,$A$33:$E$37,5,FALSE()),"brak kategorii"))</f>
        <v>OK</v>
      </c>
    </row>
    <row r="8" customFormat="false" ht="15" hidden="false" customHeight="true" outlineLevel="0" collapsed="false">
      <c r="A8" s="31" t="n">
        <v>4</v>
      </c>
      <c r="B8" s="32" t="s">
        <v>227</v>
      </c>
      <c r="C8" s="32" t="s">
        <v>219</v>
      </c>
      <c r="D8" s="32" t="s">
        <v>220</v>
      </c>
      <c r="E8" s="33" t="n">
        <v>1</v>
      </c>
      <c r="F8" s="34" t="n">
        <v>6900</v>
      </c>
      <c r="G8" s="35" t="n">
        <f aca="false">E8*F8</f>
        <v>6900</v>
      </c>
      <c r="H8" s="36" t="n">
        <v>0.23</v>
      </c>
      <c r="I8" s="35" t="n">
        <f aca="false">ROUND(G8*H8,2)</f>
        <v>1587</v>
      </c>
      <c r="J8" s="35" t="n">
        <f aca="false">G8+I8</f>
        <v>8487</v>
      </c>
      <c r="K8" s="37" t="n">
        <f aca="false">IF(VATczynny="TAK",G8,J8)</f>
        <v>8487</v>
      </c>
      <c r="L8" s="32" t="s">
        <v>228</v>
      </c>
      <c r="M8" s="32" t="s">
        <v>222</v>
      </c>
      <c r="N8" s="38" t="n">
        <f aca="false">IF(C8="","",IFERROR(VLOOKUP(C8,$A$33:$B$37,2,FALSE()),"brak kategorii"))</f>
        <v>1</v>
      </c>
      <c r="O8" s="39" t="str">
        <f aca="false">IF(C8="","",IFERROR(VLOOKUP(C8,$A$33:$E$37,5,FALSE()),"brak kategorii"))</f>
        <v>OK</v>
      </c>
    </row>
    <row r="9" customFormat="false" ht="15" hidden="false" customHeight="true" outlineLevel="0" collapsed="false">
      <c r="A9" s="31" t="n">
        <v>5</v>
      </c>
      <c r="B9" s="32" t="s">
        <v>229</v>
      </c>
      <c r="C9" s="32" t="s">
        <v>219</v>
      </c>
      <c r="D9" s="32" t="s">
        <v>220</v>
      </c>
      <c r="E9" s="33" t="n">
        <v>1</v>
      </c>
      <c r="F9" s="34" t="n">
        <v>400</v>
      </c>
      <c r="G9" s="35" t="n">
        <f aca="false">E9*F9</f>
        <v>400</v>
      </c>
      <c r="H9" s="36" t="n">
        <v>0.23</v>
      </c>
      <c r="I9" s="35" t="n">
        <f aca="false">ROUND(G9*H9,2)</f>
        <v>92</v>
      </c>
      <c r="J9" s="35" t="n">
        <f aca="false">G9+I9</f>
        <v>492</v>
      </c>
      <c r="K9" s="37" t="n">
        <f aca="false">IF(VATczynny="TAK",G9,J9)</f>
        <v>492</v>
      </c>
      <c r="L9" s="32" t="s">
        <v>230</v>
      </c>
      <c r="M9" s="32" t="s">
        <v>222</v>
      </c>
      <c r="N9" s="38" t="n">
        <f aca="false">IF(C9="","",IFERROR(VLOOKUP(C9,$A$33:$B$37,2,FALSE()),"brak kategorii"))</f>
        <v>1</v>
      </c>
      <c r="O9" s="39" t="str">
        <f aca="false">IF(C9="","",IFERROR(VLOOKUP(C9,$A$33:$E$37,5,FALSE()),"brak kategorii"))</f>
        <v>OK</v>
      </c>
    </row>
    <row r="10" customFormat="false" ht="15" hidden="false" customHeight="true" outlineLevel="0" collapsed="false">
      <c r="A10" s="31" t="n">
        <v>6</v>
      </c>
      <c r="B10" s="32" t="s">
        <v>231</v>
      </c>
      <c r="C10" s="32" t="s">
        <v>219</v>
      </c>
      <c r="D10" s="32" t="s">
        <v>220</v>
      </c>
      <c r="E10" s="33" t="n">
        <v>1</v>
      </c>
      <c r="F10" s="34" t="n">
        <v>1100</v>
      </c>
      <c r="G10" s="35" t="n">
        <f aca="false">E10*F10</f>
        <v>1100</v>
      </c>
      <c r="H10" s="36" t="n">
        <v>0.23</v>
      </c>
      <c r="I10" s="35" t="n">
        <f aca="false">ROUND(G10*H10,2)</f>
        <v>253</v>
      </c>
      <c r="J10" s="35" t="n">
        <f aca="false">G10+I10</f>
        <v>1353</v>
      </c>
      <c r="K10" s="37" t="n">
        <f aca="false">IF(VATczynny="TAK",G10,J10)</f>
        <v>1353</v>
      </c>
      <c r="L10" s="32" t="s">
        <v>232</v>
      </c>
      <c r="M10" s="32" t="s">
        <v>222</v>
      </c>
      <c r="N10" s="38" t="n">
        <f aca="false">IF(C10="","",IFERROR(VLOOKUP(C10,$A$33:$B$37,2,FALSE()),"brak kategorii"))</f>
        <v>1</v>
      </c>
      <c r="O10" s="39" t="str">
        <f aca="false">IF(C10="","",IFERROR(VLOOKUP(C10,$A$33:$E$37,5,FALSE()),"brak kategorii"))</f>
        <v>OK</v>
      </c>
    </row>
    <row r="11" customFormat="false" ht="15" hidden="false" customHeight="true" outlineLevel="0" collapsed="false">
      <c r="A11" s="31" t="n">
        <v>7</v>
      </c>
      <c r="B11" s="32" t="s">
        <v>233</v>
      </c>
      <c r="C11" s="32" t="s">
        <v>234</v>
      </c>
      <c r="D11" s="32" t="s">
        <v>220</v>
      </c>
      <c r="E11" s="33" t="n">
        <v>1</v>
      </c>
      <c r="F11" s="34" t="n">
        <v>650</v>
      </c>
      <c r="G11" s="35" t="n">
        <f aca="false">E11*F11</f>
        <v>650</v>
      </c>
      <c r="H11" s="36" t="n">
        <v>0.23</v>
      </c>
      <c r="I11" s="35" t="n">
        <f aca="false">ROUND(G11*H11,2)</f>
        <v>149.5</v>
      </c>
      <c r="J11" s="35" t="n">
        <f aca="false">G11+I11</f>
        <v>799.5</v>
      </c>
      <c r="K11" s="37" t="n">
        <f aca="false">IF(VATczynny="TAK",G11,J11)</f>
        <v>799.5</v>
      </c>
      <c r="L11" s="32" t="s">
        <v>235</v>
      </c>
      <c r="M11" s="32" t="s">
        <v>222</v>
      </c>
      <c r="N11" s="38" t="n">
        <f aca="false">IF(C11="","",IFERROR(VLOOKUP(C11,$A$33:$B$37,2,FALSE()),"brak kategorii"))</f>
        <v>1</v>
      </c>
      <c r="O11" s="39" t="str">
        <f aca="false">IF(C11="","",IFERROR(VLOOKUP(C11,$A$33:$E$37,5,FALSE()),"brak kategorii"))</f>
        <v>OK</v>
      </c>
    </row>
    <row r="12" customFormat="false" ht="15" hidden="false" customHeight="true" outlineLevel="0" collapsed="false">
      <c r="A12" s="31" t="n">
        <v>8</v>
      </c>
      <c r="B12" s="32" t="s">
        <v>236</v>
      </c>
      <c r="C12" s="32" t="s">
        <v>237</v>
      </c>
      <c r="D12" s="32" t="s">
        <v>220</v>
      </c>
      <c r="E12" s="33" t="n">
        <v>1</v>
      </c>
      <c r="F12" s="34" t="n">
        <v>1803.25</v>
      </c>
      <c r="G12" s="35" t="n">
        <f aca="false">E12*F12</f>
        <v>1803.25</v>
      </c>
      <c r="H12" s="36" t="n">
        <v>0.23</v>
      </c>
      <c r="I12" s="35" t="n">
        <f aca="false">ROUND(G12*H12,2)</f>
        <v>414.75</v>
      </c>
      <c r="J12" s="35" t="n">
        <f aca="false">G12+I12</f>
        <v>2218</v>
      </c>
      <c r="K12" s="37" t="n">
        <f aca="false">IF(VATczynny="TAK",G12,J12)</f>
        <v>2218</v>
      </c>
      <c r="L12" s="32" t="s">
        <v>238</v>
      </c>
      <c r="M12" s="32" t="s">
        <v>222</v>
      </c>
      <c r="N12" s="38" t="n">
        <f aca="false">IF(C12="","",IFERROR(VLOOKUP(C12,$A$33:$B$37,2,FALSE()),"brak kategorii"))</f>
        <v>0.3</v>
      </c>
      <c r="O12" s="39" t="str">
        <f aca="false">IF(C12="","",IFERROR(VLOOKUP(C12,$A$33:$E$37,5,FALSE()),"brak kategorii"))</f>
        <v>OK</v>
      </c>
    </row>
    <row r="13" customFormat="false" ht="15" hidden="false" customHeight="true" outlineLevel="0" collapsed="false">
      <c r="A13" s="31" t="n">
        <v>9</v>
      </c>
      <c r="B13" s="32" t="s">
        <v>239</v>
      </c>
      <c r="C13" s="32" t="s">
        <v>240</v>
      </c>
      <c r="D13" s="32" t="s">
        <v>220</v>
      </c>
      <c r="E13" s="33" t="n">
        <v>1</v>
      </c>
      <c r="F13" s="34" t="n">
        <v>1300</v>
      </c>
      <c r="G13" s="35" t="n">
        <f aca="false">E13*F13</f>
        <v>1300</v>
      </c>
      <c r="H13" s="36" t="n">
        <v>0.23</v>
      </c>
      <c r="I13" s="35" t="n">
        <f aca="false">ROUND(G13*H13,2)</f>
        <v>299</v>
      </c>
      <c r="J13" s="35" t="n">
        <f aca="false">G13+I13</f>
        <v>1599</v>
      </c>
      <c r="K13" s="37" t="n">
        <f aca="false">IF(VATczynny="TAK",G13,J13)</f>
        <v>1599</v>
      </c>
      <c r="L13" s="32" t="s">
        <v>241</v>
      </c>
      <c r="M13" s="32" t="s">
        <v>222</v>
      </c>
      <c r="N13" s="38" t="n">
        <f aca="false">IF(C13="","",IFERROR(VLOOKUP(C13,$A$33:$B$37,2,FALSE()),"brak kategorii"))</f>
        <v>1</v>
      </c>
      <c r="O13" s="39" t="str">
        <f aca="false">IF(C13="","",IFERROR(VLOOKUP(C13,$A$33:$E$37,5,FALSE()),"brak kategorii"))</f>
        <v>OK</v>
      </c>
    </row>
    <row r="14" customFormat="false" ht="15" hidden="false" customHeight="true" outlineLevel="0" collapsed="false">
      <c r="A14" s="31" t="n">
        <v>10</v>
      </c>
      <c r="B14" s="32" t="s">
        <v>242</v>
      </c>
      <c r="C14" s="32" t="s">
        <v>240</v>
      </c>
      <c r="D14" s="32" t="s">
        <v>220</v>
      </c>
      <c r="E14" s="33" t="n">
        <v>1</v>
      </c>
      <c r="F14" s="34" t="n">
        <v>1500</v>
      </c>
      <c r="G14" s="35" t="n">
        <f aca="false">E14*F14</f>
        <v>1500</v>
      </c>
      <c r="H14" s="36" t="n">
        <v>0.23</v>
      </c>
      <c r="I14" s="35" t="n">
        <f aca="false">ROUND(G14*H14,2)</f>
        <v>345</v>
      </c>
      <c r="J14" s="35" t="n">
        <f aca="false">G14+I14</f>
        <v>1845</v>
      </c>
      <c r="K14" s="37" t="n">
        <f aca="false">IF(VATczynny="TAK",G14,J14)</f>
        <v>1845</v>
      </c>
      <c r="L14" s="32" t="s">
        <v>243</v>
      </c>
      <c r="M14" s="32" t="s">
        <v>222</v>
      </c>
      <c r="N14" s="38" t="n">
        <f aca="false">IF(C14="","",IFERROR(VLOOKUP(C14,$A$33:$B$37,2,FALSE()),"brak kategorii"))</f>
        <v>1</v>
      </c>
      <c r="O14" s="39" t="str">
        <f aca="false">IF(C14="","",IFERROR(VLOOKUP(C14,$A$33:$E$37,5,FALSE()),"brak kategorii"))</f>
        <v>OK</v>
      </c>
    </row>
    <row r="15" customFormat="false" ht="15" hidden="false" customHeight="true" outlineLevel="0" collapsed="false">
      <c r="A15" s="31" t="n">
        <v>11</v>
      </c>
      <c r="B15" s="32" t="s">
        <v>244</v>
      </c>
      <c r="C15" s="32" t="s">
        <v>219</v>
      </c>
      <c r="D15" s="32" t="s">
        <v>220</v>
      </c>
      <c r="E15" s="33" t="n">
        <v>1</v>
      </c>
      <c r="F15" s="34" t="n">
        <v>1300</v>
      </c>
      <c r="G15" s="35" t="n">
        <f aca="false">E15*F15</f>
        <v>1300</v>
      </c>
      <c r="H15" s="36" t="n">
        <v>0.23</v>
      </c>
      <c r="I15" s="35" t="n">
        <f aca="false">ROUND(G15*H15,2)</f>
        <v>299</v>
      </c>
      <c r="J15" s="35" t="n">
        <f aca="false">G15+I15</f>
        <v>1599</v>
      </c>
      <c r="K15" s="37" t="n">
        <f aca="false">IF(VATczynny="TAK",G15,J15)</f>
        <v>1599</v>
      </c>
      <c r="L15" s="32" t="s">
        <v>245</v>
      </c>
      <c r="M15" s="32" t="s">
        <v>246</v>
      </c>
      <c r="N15" s="38" t="n">
        <f aca="false">IF(C15="","",IFERROR(VLOOKUP(C15,$A$33:$B$37,2,FALSE()),"brak kategorii"))</f>
        <v>1</v>
      </c>
      <c r="O15" s="39" t="str">
        <f aca="false">IF(C15="","",IFERROR(VLOOKUP(C15,$A$33:$E$37,5,FALSE()),"brak kategorii"))</f>
        <v>OK</v>
      </c>
    </row>
    <row r="16" customFormat="false" ht="15" hidden="false" customHeight="true" outlineLevel="0" collapsed="false">
      <c r="A16" s="31" t="n">
        <v>12</v>
      </c>
      <c r="B16" s="32" t="s">
        <v>247</v>
      </c>
      <c r="C16" s="32" t="s">
        <v>219</v>
      </c>
      <c r="D16" s="32" t="s">
        <v>220</v>
      </c>
      <c r="E16" s="33" t="n">
        <v>1</v>
      </c>
      <c r="F16" s="34" t="n">
        <v>700</v>
      </c>
      <c r="G16" s="35" t="n">
        <f aca="false">E16*F16</f>
        <v>700</v>
      </c>
      <c r="H16" s="36" t="n">
        <v>0.23</v>
      </c>
      <c r="I16" s="35" t="n">
        <f aca="false">ROUND(G16*H16,2)</f>
        <v>161</v>
      </c>
      <c r="J16" s="35" t="n">
        <f aca="false">G16+I16</f>
        <v>861</v>
      </c>
      <c r="K16" s="37" t="n">
        <f aca="false">IF(VATczynny="TAK",G16,J16)</f>
        <v>861</v>
      </c>
      <c r="L16" s="32" t="s">
        <v>248</v>
      </c>
      <c r="M16" s="32" t="s">
        <v>246</v>
      </c>
      <c r="N16" s="38" t="n">
        <f aca="false">IF(C16="","",IFERROR(VLOOKUP(C16,$A$33:$B$37,2,FALSE()),"brak kategorii"))</f>
        <v>1</v>
      </c>
      <c r="O16" s="39" t="str">
        <f aca="false">IF(C16="","",IFERROR(VLOOKUP(C16,$A$33:$E$37,5,FALSE()),"brak kategorii"))</f>
        <v>OK</v>
      </c>
    </row>
    <row r="17" customFormat="false" ht="15" hidden="false" customHeight="true" outlineLevel="0" collapsed="false">
      <c r="A17" s="31" t="n">
        <v>13</v>
      </c>
      <c r="B17" s="32" t="s">
        <v>249</v>
      </c>
      <c r="C17" s="32" t="s">
        <v>219</v>
      </c>
      <c r="D17" s="32" t="s">
        <v>220</v>
      </c>
      <c r="E17" s="33" t="n">
        <v>1</v>
      </c>
      <c r="F17" s="34" t="n">
        <v>600</v>
      </c>
      <c r="G17" s="35" t="n">
        <f aca="false">E17*F17</f>
        <v>600</v>
      </c>
      <c r="H17" s="36" t="n">
        <v>0.23</v>
      </c>
      <c r="I17" s="35" t="n">
        <f aca="false">ROUND(G17*H17,2)</f>
        <v>138</v>
      </c>
      <c r="J17" s="35" t="n">
        <f aca="false">G17+I17</f>
        <v>738</v>
      </c>
      <c r="K17" s="37" t="n">
        <f aca="false">IF(VATczynny="TAK",G17,J17)</f>
        <v>738</v>
      </c>
      <c r="L17" s="32" t="s">
        <v>250</v>
      </c>
      <c r="M17" s="32" t="s">
        <v>246</v>
      </c>
      <c r="N17" s="38" t="n">
        <f aca="false">IF(C17="","",IFERROR(VLOOKUP(C17,$A$33:$B$37,2,FALSE()),"brak kategorii"))</f>
        <v>1</v>
      </c>
      <c r="O17" s="39" t="str">
        <f aca="false">IF(C17="","",IFERROR(VLOOKUP(C17,$A$33:$E$37,5,FALSE()),"brak kategorii"))</f>
        <v>OK</v>
      </c>
    </row>
    <row r="18" customFormat="false" ht="15" hidden="false" customHeight="true" outlineLevel="0" collapsed="false">
      <c r="A18" s="31" t="n">
        <v>14</v>
      </c>
      <c r="B18" s="32" t="s">
        <v>251</v>
      </c>
      <c r="C18" s="32" t="s">
        <v>240</v>
      </c>
      <c r="D18" s="32" t="s">
        <v>220</v>
      </c>
      <c r="E18" s="33" t="n">
        <v>1</v>
      </c>
      <c r="F18" s="34" t="n">
        <v>450</v>
      </c>
      <c r="G18" s="35" t="n">
        <f aca="false">E18*F18</f>
        <v>450</v>
      </c>
      <c r="H18" s="36" t="n">
        <v>0.23</v>
      </c>
      <c r="I18" s="35" t="n">
        <f aca="false">ROUND(G18*H18,2)</f>
        <v>103.5</v>
      </c>
      <c r="J18" s="35" t="n">
        <f aca="false">G18+I18</f>
        <v>553.5</v>
      </c>
      <c r="K18" s="37" t="n">
        <f aca="false">IF(VATczynny="TAK",G18,J18)</f>
        <v>553.5</v>
      </c>
      <c r="L18" s="32" t="s">
        <v>252</v>
      </c>
      <c r="M18" s="32" t="s">
        <v>246</v>
      </c>
      <c r="N18" s="38" t="n">
        <f aca="false">IF(C18="","",IFERROR(VLOOKUP(C18,$A$33:$B$37,2,FALSE()),"brak kategorii"))</f>
        <v>1</v>
      </c>
      <c r="O18" s="39" t="str">
        <f aca="false">IF(C18="","",IFERROR(VLOOKUP(C18,$A$33:$E$37,5,FALSE()),"brak kategorii"))</f>
        <v>OK</v>
      </c>
    </row>
    <row r="19" customFormat="false" ht="15" hidden="false" customHeight="true" outlineLevel="0" collapsed="false">
      <c r="A19" s="31" t="n">
        <v>15</v>
      </c>
      <c r="B19" s="32" t="s">
        <v>253</v>
      </c>
      <c r="C19" s="32" t="s">
        <v>234</v>
      </c>
      <c r="D19" s="32" t="s">
        <v>220</v>
      </c>
      <c r="E19" s="33" t="n">
        <v>1</v>
      </c>
      <c r="F19" s="34" t="n">
        <v>300</v>
      </c>
      <c r="G19" s="35" t="n">
        <f aca="false">E19*F19</f>
        <v>300</v>
      </c>
      <c r="H19" s="36" t="n">
        <v>0.23</v>
      </c>
      <c r="I19" s="35" t="n">
        <f aca="false">ROUND(G19*H19,2)</f>
        <v>69</v>
      </c>
      <c r="J19" s="35" t="n">
        <f aca="false">G19+I19</f>
        <v>369</v>
      </c>
      <c r="K19" s="37" t="n">
        <f aca="false">IF(VATczynny="TAK",G19,J19)</f>
        <v>369</v>
      </c>
      <c r="L19" s="32" t="s">
        <v>254</v>
      </c>
      <c r="M19" s="32" t="s">
        <v>246</v>
      </c>
      <c r="N19" s="38" t="n">
        <f aca="false">IF(C19="","",IFERROR(VLOOKUP(C19,$A$33:$B$37,2,FALSE()),"brak kategorii"))</f>
        <v>1</v>
      </c>
      <c r="O19" s="39" t="str">
        <f aca="false">IF(C19="","",IFERROR(VLOOKUP(C19,$A$33:$E$37,5,FALSE()),"brak kategorii"))</f>
        <v>OK</v>
      </c>
    </row>
    <row r="20" customFormat="false" ht="15" hidden="false" customHeight="true" outlineLevel="0" collapsed="false">
      <c r="A20" s="31" t="n">
        <v>16</v>
      </c>
      <c r="B20" s="32" t="s">
        <v>255</v>
      </c>
      <c r="C20" s="32" t="s">
        <v>237</v>
      </c>
      <c r="D20" s="32" t="s">
        <v>220</v>
      </c>
      <c r="E20" s="33" t="n">
        <v>1</v>
      </c>
      <c r="F20" s="34" t="n">
        <v>1000</v>
      </c>
      <c r="G20" s="35" t="n">
        <f aca="false">E20*F20</f>
        <v>1000</v>
      </c>
      <c r="H20" s="36" t="n">
        <v>0.23</v>
      </c>
      <c r="I20" s="35" t="n">
        <f aca="false">ROUND(G20*H20,2)</f>
        <v>230</v>
      </c>
      <c r="J20" s="35" t="n">
        <f aca="false">G20+I20</f>
        <v>1230</v>
      </c>
      <c r="K20" s="37" t="n">
        <f aca="false">IF(VATczynny="TAK",G20,J20)</f>
        <v>1230</v>
      </c>
      <c r="L20" s="32" t="s">
        <v>256</v>
      </c>
      <c r="M20" s="32" t="s">
        <v>246</v>
      </c>
      <c r="N20" s="38" t="n">
        <f aca="false">IF(C20="","",IFERROR(VLOOKUP(C20,$A$33:$B$37,2,FALSE()),"brak kategorii"))</f>
        <v>0.3</v>
      </c>
      <c r="O20" s="39" t="str">
        <f aca="false">IF(C20="","",IFERROR(VLOOKUP(C20,$A$33:$E$37,5,FALSE()),"brak kategorii"))</f>
        <v>OK</v>
      </c>
    </row>
    <row r="21" customFormat="false" ht="15" hidden="false" customHeight="true" outlineLevel="0" collapsed="false">
      <c r="A21" s="31" t="n">
        <v>17</v>
      </c>
      <c r="B21" s="32"/>
      <c r="C21" s="32"/>
      <c r="D21" s="32"/>
      <c r="E21" s="33"/>
      <c r="F21" s="34"/>
      <c r="G21" s="35" t="n">
        <f aca="false">E21*F21</f>
        <v>0</v>
      </c>
      <c r="H21" s="36"/>
      <c r="I21" s="35" t="n">
        <f aca="false">ROUND(G21*H21,2)</f>
        <v>0</v>
      </c>
      <c r="J21" s="35" t="n">
        <f aca="false">G21+I21</f>
        <v>0</v>
      </c>
      <c r="K21" s="37" t="n">
        <f aca="false">IF(VATczynny="TAK",G21,J21)</f>
        <v>0</v>
      </c>
      <c r="L21" s="32"/>
      <c r="M21" s="32"/>
      <c r="N21" s="38" t="str">
        <f aca="false">IF(C21="","",IFERROR(VLOOKUP(C21,$A$33:$B$37,2,FALSE()),"brak kategorii"))</f>
        <v/>
      </c>
      <c r="O21" s="39" t="str">
        <f aca="false">IF(C21="","",IFERROR(VLOOKUP(C21,$A$33:$E$37,5,FALSE()),"brak kategorii"))</f>
        <v/>
      </c>
    </row>
    <row r="22" customFormat="false" ht="15" hidden="false" customHeight="true" outlineLevel="0" collapsed="false">
      <c r="A22" s="31" t="n">
        <v>18</v>
      </c>
      <c r="B22" s="32"/>
      <c r="C22" s="32"/>
      <c r="D22" s="32"/>
      <c r="E22" s="33"/>
      <c r="F22" s="34"/>
      <c r="G22" s="35" t="n">
        <f aca="false">E22*F22</f>
        <v>0</v>
      </c>
      <c r="H22" s="36"/>
      <c r="I22" s="35" t="n">
        <f aca="false">ROUND(G22*H22,2)</f>
        <v>0</v>
      </c>
      <c r="J22" s="35" t="n">
        <f aca="false">G22+I22</f>
        <v>0</v>
      </c>
      <c r="K22" s="37" t="n">
        <f aca="false">IF(VATczynny="TAK",G22,J22)</f>
        <v>0</v>
      </c>
      <c r="L22" s="32"/>
      <c r="M22" s="32"/>
      <c r="N22" s="38" t="str">
        <f aca="false">IF(C22="","",IFERROR(VLOOKUP(C22,$A$33:$B$37,2,FALSE()),"brak kategorii"))</f>
        <v/>
      </c>
      <c r="O22" s="39" t="str">
        <f aca="false">IF(C22="","",IFERROR(VLOOKUP(C22,$A$33:$E$37,5,FALSE()),"brak kategorii"))</f>
        <v/>
      </c>
    </row>
    <row r="23" customFormat="false" ht="15" hidden="false" customHeight="true" outlineLevel="0" collapsed="false">
      <c r="A23" s="31" t="n">
        <v>19</v>
      </c>
      <c r="B23" s="32"/>
      <c r="C23" s="32"/>
      <c r="D23" s="32"/>
      <c r="E23" s="33"/>
      <c r="F23" s="34"/>
      <c r="G23" s="35" t="n">
        <f aca="false">E23*F23</f>
        <v>0</v>
      </c>
      <c r="H23" s="36"/>
      <c r="I23" s="35" t="n">
        <f aca="false">ROUND(G23*H23,2)</f>
        <v>0</v>
      </c>
      <c r="J23" s="35" t="n">
        <f aca="false">G23+I23</f>
        <v>0</v>
      </c>
      <c r="K23" s="37" t="n">
        <f aca="false">IF(VATczynny="TAK",G23,J23)</f>
        <v>0</v>
      </c>
      <c r="L23" s="32"/>
      <c r="M23" s="32"/>
      <c r="N23" s="38" t="str">
        <f aca="false">IF(C23="","",IFERROR(VLOOKUP(C23,$A$33:$B$37,2,FALSE()),"brak kategorii"))</f>
        <v/>
      </c>
      <c r="O23" s="39" t="str">
        <f aca="false">IF(C23="","",IFERROR(VLOOKUP(C23,$A$33:$E$37,5,FALSE()),"brak kategorii"))</f>
        <v/>
      </c>
    </row>
    <row r="24" customFormat="false" ht="15" hidden="false" customHeight="true" outlineLevel="0" collapsed="false">
      <c r="A24" s="31" t="n">
        <v>20</v>
      </c>
      <c r="B24" s="32"/>
      <c r="C24" s="32"/>
      <c r="D24" s="32"/>
      <c r="E24" s="33"/>
      <c r="F24" s="34"/>
      <c r="G24" s="35" t="n">
        <f aca="false">E24*F24</f>
        <v>0</v>
      </c>
      <c r="H24" s="36"/>
      <c r="I24" s="35" t="n">
        <f aca="false">ROUND(G24*H24,2)</f>
        <v>0</v>
      </c>
      <c r="J24" s="35" t="n">
        <f aca="false">G24+I24</f>
        <v>0</v>
      </c>
      <c r="K24" s="37" t="n">
        <f aca="false">IF(VATczynny="TAK",G24,J24)</f>
        <v>0</v>
      </c>
      <c r="L24" s="32"/>
      <c r="M24" s="32"/>
      <c r="N24" s="38" t="str">
        <f aca="false">IF(C24="","",IFERROR(VLOOKUP(C24,$A$33:$B$37,2,FALSE()),"brak kategorii"))</f>
        <v/>
      </c>
      <c r="O24" s="39" t="str">
        <f aca="false">IF(C24="","",IFERROR(VLOOKUP(C24,$A$33:$E$37,5,FALSE()),"brak kategorii"))</f>
        <v/>
      </c>
    </row>
    <row r="25" customFormat="false" ht="15" hidden="false" customHeight="true" outlineLevel="0" collapsed="false">
      <c r="A25" s="40"/>
      <c r="B25" s="40" t="s">
        <v>257</v>
      </c>
      <c r="C25" s="40"/>
      <c r="D25" s="40"/>
      <c r="E25" s="40"/>
      <c r="F25" s="40"/>
      <c r="G25" s="41" t="n">
        <f aca="false">SUM(G5:G24)</f>
        <v>24553.25</v>
      </c>
      <c r="H25" s="40"/>
      <c r="I25" s="41" t="n">
        <f aca="false">SUM(I5:I24)</f>
        <v>5647.25</v>
      </c>
      <c r="J25" s="41" t="n">
        <f aca="false">SUM(J5:J24)</f>
        <v>30200.5</v>
      </c>
      <c r="K25" s="41" t="n">
        <f aca="false">SUM(K5:K24)</f>
        <v>30200.5</v>
      </c>
      <c r="L25" s="40"/>
      <c r="M25" s="40"/>
      <c r="N25" s="40"/>
      <c r="O25" s="40"/>
    </row>
    <row r="26" customFormat="false" ht="15" hidden="false" customHeight="true" outlineLevel="0" collapsed="false">
      <c r="B26" s="6" t="s">
        <v>258</v>
      </c>
      <c r="G26" s="25" t="n">
        <f aca="false">SUMIFS(G5:G24,$M$5:$M$24,"dotacja")</f>
        <v>20203.25</v>
      </c>
      <c r="I26" s="25" t="n">
        <f aca="false">SUMIFS(I5:I24,$M$5:$M$24,"dotacja")</f>
        <v>4646.75</v>
      </c>
      <c r="J26" s="25" t="n">
        <f aca="false">SUMIFS(J5:J24,$M$5:$M$24,"dotacja")</f>
        <v>24850</v>
      </c>
      <c r="K26" s="25" t="n">
        <f aca="false">SUMIFS(K5:K24,$M$5:$M$24,"dotacja")</f>
        <v>24850</v>
      </c>
    </row>
    <row r="27" customFormat="false" ht="15" hidden="false" customHeight="true" outlineLevel="0" collapsed="false">
      <c r="B27" s="6" t="s">
        <v>259</v>
      </c>
      <c r="G27" s="25" t="n">
        <f aca="false">SUMIFS(G5:G24,$M$5:$M$24,"wkład własny")</f>
        <v>4350</v>
      </c>
      <c r="I27" s="25" t="n">
        <f aca="false">SUMIFS(I5:I24,$M$5:$M$24,"wkład własny")</f>
        <v>1000.5</v>
      </c>
      <c r="J27" s="25" t="n">
        <f aca="false">SUMIFS(J5:J24,$M$5:$M$24,"wkład własny")</f>
        <v>5350.5</v>
      </c>
      <c r="K27" s="25" t="n">
        <f aca="false">SUMIFS(K5:K24,$M$5:$M$24,"wkład własny")</f>
        <v>5350.5</v>
      </c>
    </row>
    <row r="28" customFormat="false" ht="15" hidden="false" customHeight="true" outlineLevel="0" collapsed="false">
      <c r="B28" s="6" t="s">
        <v>260</v>
      </c>
      <c r="K28" s="42" t="n">
        <f aca="false">Dotacja</f>
        <v>24850</v>
      </c>
    </row>
    <row r="29" customFormat="false" ht="15" hidden="false" customHeight="true" outlineLevel="0" collapsed="false">
      <c r="B29" s="6" t="s">
        <v>261</v>
      </c>
      <c r="K29" s="25" t="n">
        <f aca="false">K28-K26</f>
        <v>0</v>
      </c>
      <c r="L29" s="24" t="str">
        <f aca="false">IF(K29&lt;-0.005,"PRZEKROCZONO KWOTĘ DOTACJI",IF(K29&gt;0.005,"Dotacja nie w pełni rozplanowana","OK – dotacja rozplanowana"))</f>
        <v>OK – dotacja rozplanowana</v>
      </c>
    </row>
    <row r="31" customFormat="false" ht="15" hidden="false" customHeight="true" outlineLevel="0" collapsed="false">
      <c r="A31" s="16" t="s">
        <v>262</v>
      </c>
    </row>
    <row r="32" customFormat="false" ht="30" hidden="false" customHeight="true" outlineLevel="0" collapsed="false">
      <c r="A32" s="4" t="s">
        <v>205</v>
      </c>
      <c r="B32" s="4" t="s">
        <v>263</v>
      </c>
      <c r="C32" s="4" t="s">
        <v>264</v>
      </c>
      <c r="D32" s="4" t="s">
        <v>265</v>
      </c>
      <c r="E32" s="4" t="s">
        <v>76</v>
      </c>
    </row>
    <row r="33" customFormat="false" ht="15" hidden="false" customHeight="true" outlineLevel="0" collapsed="false">
      <c r="A33" s="43" t="s">
        <v>219</v>
      </c>
      <c r="B33" s="36" t="n">
        <v>1</v>
      </c>
      <c r="C33" s="35" t="n">
        <f aca="false">SUMIFS($K$5:$K$24,$C$5:$C$24,A33,$M$5:$M$24,"dotacja")</f>
        <v>18388.5</v>
      </c>
      <c r="D33" s="44" t="n">
        <f aca="false">IF(Dotacja&gt;0,C33/Dotacja,0)</f>
        <v>0.739979879275654</v>
      </c>
      <c r="E33" s="39" t="str">
        <f aca="false">IF(D33&gt;B33+0.00001,"PRZEKROCZONY","OK")</f>
        <v>OK</v>
      </c>
    </row>
    <row r="34" customFormat="false" ht="15" hidden="false" customHeight="true" outlineLevel="0" collapsed="false">
      <c r="A34" s="43" t="s">
        <v>237</v>
      </c>
      <c r="B34" s="36" t="n">
        <v>0.3</v>
      </c>
      <c r="C34" s="35" t="n">
        <f aca="false">SUMIFS($K$5:$K$24,$C$5:$C$24,A34,$M$5:$M$24,"dotacja")</f>
        <v>2218</v>
      </c>
      <c r="D34" s="44" t="n">
        <f aca="false">IF(Dotacja&gt;0,C34/Dotacja,0)</f>
        <v>0.0892555331991952</v>
      </c>
      <c r="E34" s="39" t="str">
        <f aca="false">IF(D34&gt;B34+0.00001,"PRZEKROCZONY","OK")</f>
        <v>OK</v>
      </c>
    </row>
    <row r="35" customFormat="false" ht="15" hidden="false" customHeight="true" outlineLevel="0" collapsed="false">
      <c r="A35" s="43" t="s">
        <v>240</v>
      </c>
      <c r="B35" s="36" t="n">
        <v>1</v>
      </c>
      <c r="C35" s="35" t="n">
        <f aca="false">SUMIFS($K$5:$K$24,$C$5:$C$24,A35,$M$5:$M$24,"dotacja")</f>
        <v>3444</v>
      </c>
      <c r="D35" s="44" t="n">
        <f aca="false">IF(Dotacja&gt;0,C35/Dotacja,0)</f>
        <v>0.138591549295775</v>
      </c>
      <c r="E35" s="39" t="str">
        <f aca="false">IF(D35&gt;B35+0.00001,"PRZEKROCZONY","OK")</f>
        <v>OK</v>
      </c>
    </row>
    <row r="36" customFormat="false" ht="15" hidden="false" customHeight="true" outlineLevel="0" collapsed="false">
      <c r="A36" s="43" t="s">
        <v>266</v>
      </c>
      <c r="B36" s="36" t="n">
        <v>0</v>
      </c>
      <c r="C36" s="35" t="n">
        <f aca="false">SUMIFS($K$5:$K$24,$C$5:$C$24,A36,$M$5:$M$24,"dotacja")</f>
        <v>0</v>
      </c>
      <c r="D36" s="44" t="n">
        <f aca="false">IF(Dotacja&gt;0,C36/Dotacja,0)</f>
        <v>0</v>
      </c>
      <c r="E36" s="39" t="str">
        <f aca="false">IF(D36&gt;B36+0.00001,"PRZEKROCZONY","OK")</f>
        <v>OK</v>
      </c>
    </row>
    <row r="37" customFormat="false" ht="15" hidden="false" customHeight="true" outlineLevel="0" collapsed="false">
      <c r="A37" s="43" t="s">
        <v>234</v>
      </c>
      <c r="B37" s="36" t="n">
        <v>1</v>
      </c>
      <c r="C37" s="35" t="n">
        <f aca="false">SUMIFS($K$5:$K$24,$C$5:$C$24,A37,$M$5:$M$24,"dotacja")</f>
        <v>799.5</v>
      </c>
      <c r="D37" s="44" t="n">
        <f aca="false">IF(Dotacja&gt;0,C37/Dotacja,0)</f>
        <v>0.0321730382293763</v>
      </c>
      <c r="E37" s="39" t="str">
        <f aca="false">IF(D37&gt;B37+0.00001,"PRZEKROCZONY","OK")</f>
        <v>OK</v>
      </c>
    </row>
    <row r="38" customFormat="false" ht="15" hidden="false" customHeight="true" outlineLevel="0" collapsed="false">
      <c r="A38" s="40" t="s">
        <v>267</v>
      </c>
      <c r="B38" s="40"/>
      <c r="C38" s="41" t="n">
        <f aca="false">SUM(C33:C37)</f>
        <v>24850</v>
      </c>
      <c r="D38" s="45" t="n">
        <f aca="false">SUM(D33:D37)</f>
        <v>1</v>
      </c>
      <c r="E38" s="40"/>
    </row>
    <row r="39" customFormat="false" ht="15" hidden="false" customHeight="true" outlineLevel="0" collapsed="false">
      <c r="A39" s="6" t="s">
        <v>268</v>
      </c>
      <c r="C39" s="10" t="str">
        <f aca="false">IF(ABS(C38-K26)&lt;0.01,"OK","SPRAWDŹ KATEGORIE (puste/nieznane)")</f>
        <v>OK</v>
      </c>
    </row>
  </sheetData>
  <dataValidations count="3">
    <dataValidation allowBlank="true" errorStyle="stop" operator="between" showDropDown="false" showErrorMessage="false" showInputMessage="false" sqref="C5:C24" type="list">
      <formula1>"sprzęt,towar,reklama,remont,inne"</formula1>
      <formula2>0</formula2>
    </dataValidation>
    <dataValidation allowBlank="true" errorStyle="stop" operator="between" showDropDown="false" showErrorMessage="false" showInputMessage="false" sqref="D5:D24" type="list">
      <formula1>"nowy,używany"</formula1>
      <formula2>0</formula2>
    </dataValidation>
    <dataValidation allowBlank="true" errorStyle="stop" operator="between" showDropDown="false" showErrorMessage="false" showInputMessage="false" sqref="M5:M24" type="list">
      <formula1>"dotacja,wkład własny"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8" topLeftCell="C19" activePane="bottomRight" state="frozen"/>
      <selection pane="topLeft" activeCell="A1" activeCellId="0" sqref="A1"/>
      <selection pane="topRight" activeCell="C1" activeCellId="0" sqref="C1"/>
      <selection pane="bottomLeft" activeCell="A19" activeCellId="0" sqref="A1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15" min="6" style="1" width="12"/>
  </cols>
  <sheetData>
    <row r="1" customFormat="false" ht="17.25" hidden="false" customHeight="true" outlineLevel="0" collapsed="false">
      <c r="A1" s="2" t="s">
        <v>269</v>
      </c>
    </row>
    <row r="2" customFormat="false" ht="15" hidden="false" customHeight="true" outlineLevel="0" collapsed="false">
      <c r="A2" s="3" t="s">
        <v>270</v>
      </c>
    </row>
    <row r="4" customFormat="false" ht="15" hidden="false" customHeight="true" outlineLevel="0" collapsed="false">
      <c r="A4" s="16" t="s">
        <v>271</v>
      </c>
    </row>
    <row r="5" customFormat="false" ht="45" hidden="false" customHeight="true" outlineLevel="0" collapsed="false">
      <c r="A5" s="4" t="s">
        <v>272</v>
      </c>
      <c r="B5" s="4" t="s">
        <v>273</v>
      </c>
      <c r="C5" s="4" t="s">
        <v>274</v>
      </c>
      <c r="D5" s="4" t="s">
        <v>275</v>
      </c>
      <c r="E5" s="4" t="s">
        <v>276</v>
      </c>
    </row>
    <row r="6" customFormat="false" ht="15" hidden="false" customHeight="true" outlineLevel="0" collapsed="false">
      <c r="A6" s="7" t="s">
        <v>277</v>
      </c>
      <c r="B6" s="9" t="n">
        <v>100</v>
      </c>
      <c r="C6" s="14" t="n">
        <v>24</v>
      </c>
      <c r="D6" s="15" t="n">
        <v>2</v>
      </c>
      <c r="E6" s="42" t="n">
        <f aca="false">IF(VATczynny="TAK",ROUND(B6/(1+StawkaVAT),2),B6)</f>
        <v>100</v>
      </c>
    </row>
    <row r="7" customFormat="false" ht="15" hidden="false" customHeight="true" outlineLevel="0" collapsed="false">
      <c r="A7" s="7" t="s">
        <v>278</v>
      </c>
      <c r="B7" s="9" t="n">
        <v>90</v>
      </c>
      <c r="C7" s="14" t="n">
        <v>18</v>
      </c>
      <c r="D7" s="15" t="n">
        <v>1.5</v>
      </c>
      <c r="E7" s="42" t="n">
        <f aca="false">IF(VATczynny="TAK",ROUND(B7/(1+StawkaVAT),2),B7)</f>
        <v>90</v>
      </c>
    </row>
    <row r="8" customFormat="false" ht="15" hidden="false" customHeight="true" outlineLevel="0" collapsed="false">
      <c r="A8" s="7" t="s">
        <v>279</v>
      </c>
      <c r="B8" s="9" t="n">
        <v>45</v>
      </c>
      <c r="C8" s="14" t="n">
        <v>30</v>
      </c>
      <c r="D8" s="15" t="n">
        <v>0.4</v>
      </c>
      <c r="E8" s="42" t="n">
        <f aca="false">IF(VATczynny="TAK",ROUND(B8/(1+StawkaVAT),2),B8)</f>
        <v>45</v>
      </c>
    </row>
    <row r="9" customFormat="false" ht="15" hidden="false" customHeight="true" outlineLevel="0" collapsed="false">
      <c r="A9" s="7" t="s">
        <v>280</v>
      </c>
      <c r="B9" s="9" t="n">
        <v>450</v>
      </c>
      <c r="C9" s="14" t="n">
        <v>3</v>
      </c>
      <c r="D9" s="15" t="n">
        <v>6</v>
      </c>
      <c r="E9" s="42" t="n">
        <f aca="false">IF(VATczynny="TAK",ROUND(B9/(1+StawkaVAT),2),B9)</f>
        <v>450</v>
      </c>
    </row>
    <row r="10" customFormat="false" ht="15" hidden="false" customHeight="true" outlineLevel="0" collapsed="false">
      <c r="A10" s="7" t="s">
        <v>281</v>
      </c>
      <c r="B10" s="9" t="n">
        <v>250</v>
      </c>
      <c r="C10" s="14" t="n">
        <v>3</v>
      </c>
      <c r="D10" s="15" t="n">
        <v>2.5</v>
      </c>
      <c r="E10" s="42" t="n">
        <f aca="false">IF(VATczynny="TAK",ROUND(B10/(1+StawkaVAT),2),B10)</f>
        <v>250</v>
      </c>
    </row>
    <row r="12" customFormat="false" ht="15" hidden="false" customHeight="true" outlineLevel="0" collapsed="false">
      <c r="A12" s="16" t="s">
        <v>282</v>
      </c>
    </row>
    <row r="13" customFormat="false" ht="15" hidden="false" customHeight="true" outlineLevel="0" collapsed="false">
      <c r="A13" s="46" t="s">
        <v>283</v>
      </c>
      <c r="C13" s="47" t="s">
        <v>284</v>
      </c>
      <c r="D13" s="47" t="s">
        <v>285</v>
      </c>
      <c r="E13" s="47" t="s">
        <v>286</v>
      </c>
      <c r="F13" s="47" t="s">
        <v>287</v>
      </c>
      <c r="G13" s="47" t="s">
        <v>288</v>
      </c>
      <c r="H13" s="47" t="s">
        <v>289</v>
      </c>
      <c r="I13" s="47" t="s">
        <v>290</v>
      </c>
      <c r="J13" s="47" t="s">
        <v>291</v>
      </c>
      <c r="K13" s="47" t="s">
        <v>292</v>
      </c>
      <c r="L13" s="47" t="s">
        <v>293</v>
      </c>
      <c r="M13" s="47" t="s">
        <v>294</v>
      </c>
      <c r="N13" s="47" t="s">
        <v>295</v>
      </c>
      <c r="O13" s="5" t="s">
        <v>296</v>
      </c>
    </row>
    <row r="14" customFormat="false" ht="15" hidden="false" customHeight="true" outlineLevel="0" collapsed="false">
      <c r="A14" s="5" t="s">
        <v>297</v>
      </c>
      <c r="C14" s="48" t="n">
        <v>0.85</v>
      </c>
      <c r="D14" s="48" t="n">
        <v>0.85</v>
      </c>
      <c r="E14" s="48" t="n">
        <v>1.1</v>
      </c>
      <c r="F14" s="48" t="n">
        <v>1.2</v>
      </c>
      <c r="G14" s="48" t="n">
        <v>1.05</v>
      </c>
      <c r="H14" s="48" t="n">
        <v>1</v>
      </c>
      <c r="I14" s="48" t="n">
        <v>0.85</v>
      </c>
      <c r="J14" s="48" t="n">
        <v>0.85</v>
      </c>
      <c r="K14" s="48" t="n">
        <v>1</v>
      </c>
      <c r="L14" s="48" t="n">
        <v>1.05</v>
      </c>
      <c r="M14" s="48" t="n">
        <v>1.05</v>
      </c>
      <c r="N14" s="48" t="n">
        <v>1.15</v>
      </c>
      <c r="O14" s="49" t="n">
        <f aca="false">AVERAGE(C14:N14)</f>
        <v>1</v>
      </c>
    </row>
    <row r="16" customFormat="false" ht="15" hidden="false" customHeight="true" outlineLevel="0" collapsed="false">
      <c r="A16" s="16" t="s">
        <v>298</v>
      </c>
    </row>
    <row r="17" customFormat="false" ht="15" hidden="false" customHeight="true" outlineLevel="0" collapsed="false">
      <c r="A17" s="46" t="s">
        <v>299</v>
      </c>
      <c r="B17" s="50"/>
      <c r="C17" s="51" t="n">
        <v>1</v>
      </c>
      <c r="D17" s="52" t="n">
        <f aca="false">C17+1</f>
        <v>2</v>
      </c>
      <c r="E17" s="52" t="n">
        <f aca="false">D17+1</f>
        <v>3</v>
      </c>
      <c r="F17" s="52" t="n">
        <f aca="false">E17+1</f>
        <v>4</v>
      </c>
      <c r="G17" s="52" t="n">
        <f aca="false">F17+1</f>
        <v>5</v>
      </c>
      <c r="H17" s="52" t="n">
        <f aca="false">G17+1</f>
        <v>6</v>
      </c>
      <c r="I17" s="52" t="n">
        <f aca="false">H17+1</f>
        <v>7</v>
      </c>
      <c r="J17" s="52" t="n">
        <f aca="false">I17+1</f>
        <v>8</v>
      </c>
      <c r="K17" s="52" t="n">
        <f aca="false">J17+1</f>
        <v>9</v>
      </c>
      <c r="L17" s="52" t="n">
        <f aca="false">K17+1</f>
        <v>10</v>
      </c>
      <c r="M17" s="52" t="n">
        <f aca="false">L17+1</f>
        <v>11</v>
      </c>
      <c r="N17" s="52" t="n">
        <f aca="false">M17+1</f>
        <v>12</v>
      </c>
      <c r="O17" s="46" t="s">
        <v>300</v>
      </c>
    </row>
    <row r="18" customFormat="false" ht="15" hidden="false" customHeight="true" outlineLevel="0" collapsed="false">
      <c r="A18" s="46" t="s">
        <v>283</v>
      </c>
      <c r="B18" s="50"/>
      <c r="C18" s="53" t="n">
        <f aca="false">EDATE(DataStartu,C17-1)</f>
        <v>46447</v>
      </c>
      <c r="D18" s="53" t="n">
        <f aca="false">EDATE(DataStartu,D17-1)</f>
        <v>46478</v>
      </c>
      <c r="E18" s="53" t="n">
        <f aca="false">EDATE(DataStartu,E17-1)</f>
        <v>46508</v>
      </c>
      <c r="F18" s="53" t="n">
        <f aca="false">EDATE(DataStartu,F17-1)</f>
        <v>46539</v>
      </c>
      <c r="G18" s="53" t="n">
        <f aca="false">EDATE(DataStartu,G17-1)</f>
        <v>46569</v>
      </c>
      <c r="H18" s="53" t="n">
        <f aca="false">EDATE(DataStartu,H17-1)</f>
        <v>46600</v>
      </c>
      <c r="I18" s="53" t="n">
        <f aca="false">EDATE(DataStartu,I17-1)</f>
        <v>46631</v>
      </c>
      <c r="J18" s="53" t="n">
        <f aca="false">EDATE(DataStartu,J17-1)</f>
        <v>46661</v>
      </c>
      <c r="K18" s="53" t="n">
        <f aca="false">EDATE(DataStartu,K17-1)</f>
        <v>46692</v>
      </c>
      <c r="L18" s="53" t="n">
        <f aca="false">EDATE(DataStartu,L17-1)</f>
        <v>46722</v>
      </c>
      <c r="M18" s="53" t="n">
        <f aca="false">EDATE(DataStartu,M17-1)</f>
        <v>46753</v>
      </c>
      <c r="N18" s="53" t="n">
        <f aca="false">EDATE(DataStartu,N17-1)</f>
        <v>46784</v>
      </c>
      <c r="O18" s="50"/>
    </row>
    <row r="19" customFormat="false" ht="15" hidden="false" customHeight="true" outlineLevel="0" collapsed="false">
      <c r="A19" s="5" t="s">
        <v>301</v>
      </c>
      <c r="C19" s="13" t="n">
        <v>0.5</v>
      </c>
      <c r="D19" s="13" t="n">
        <v>0.7</v>
      </c>
      <c r="E19" s="13" t="n">
        <v>0.85</v>
      </c>
      <c r="F19" s="13" t="n">
        <v>1</v>
      </c>
      <c r="G19" s="13" t="n">
        <v>1</v>
      </c>
      <c r="H19" s="13" t="n">
        <v>1</v>
      </c>
      <c r="I19" s="13" t="n">
        <v>1</v>
      </c>
      <c r="J19" s="13" t="n">
        <v>1</v>
      </c>
      <c r="K19" s="13" t="n">
        <v>1</v>
      </c>
      <c r="L19" s="13" t="n">
        <v>1</v>
      </c>
      <c r="M19" s="13" t="n">
        <v>1</v>
      </c>
      <c r="N19" s="13" t="n">
        <v>1</v>
      </c>
    </row>
    <row r="20" customFormat="false" ht="15" hidden="false" customHeight="true" outlineLevel="0" collapsed="false">
      <c r="A20" s="6" t="s">
        <v>302</v>
      </c>
      <c r="C20" s="49" t="n">
        <f aca="false">INDEX($C$14:$N$14,MONTH(C$18))</f>
        <v>1.1</v>
      </c>
      <c r="D20" s="49" t="n">
        <f aca="false">INDEX($C$14:$N$14,MONTH(D$18))</f>
        <v>1.2</v>
      </c>
      <c r="E20" s="49" t="n">
        <f aca="false">INDEX($C$14:$N$14,MONTH(E$18))</f>
        <v>1.05</v>
      </c>
      <c r="F20" s="49" t="n">
        <f aca="false">INDEX($C$14:$N$14,MONTH(F$18))</f>
        <v>1</v>
      </c>
      <c r="G20" s="49" t="n">
        <f aca="false">INDEX($C$14:$N$14,MONTH(G$18))</f>
        <v>0.85</v>
      </c>
      <c r="H20" s="49" t="n">
        <f aca="false">INDEX($C$14:$N$14,MONTH(H$18))</f>
        <v>0.85</v>
      </c>
      <c r="I20" s="49" t="n">
        <f aca="false">INDEX($C$14:$N$14,MONTH(I$18))</f>
        <v>1</v>
      </c>
      <c r="J20" s="49" t="n">
        <f aca="false">INDEX($C$14:$N$14,MONTH(J$18))</f>
        <v>1.05</v>
      </c>
      <c r="K20" s="49" t="n">
        <f aca="false">INDEX($C$14:$N$14,MONTH(K$18))</f>
        <v>1.05</v>
      </c>
      <c r="L20" s="49" t="n">
        <f aca="false">INDEX($C$14:$N$14,MONTH(L$18))</f>
        <v>1.15</v>
      </c>
      <c r="M20" s="49" t="n">
        <f aca="false">INDEX($C$14:$N$14,MONTH(M$18))</f>
        <v>0.85</v>
      </c>
      <c r="N20" s="49" t="n">
        <f aca="false">INDEX($C$14:$N$14,MONTH(N$18))</f>
        <v>0.85</v>
      </c>
    </row>
    <row r="21" customFormat="false" ht="15" hidden="false" customHeight="true" outlineLevel="0" collapsed="false">
      <c r="A21" s="5" t="s">
        <v>303</v>
      </c>
    </row>
    <row r="22" customFormat="false" ht="15" hidden="false" customHeight="true" outlineLevel="0" collapsed="false">
      <c r="A22" s="10" t="str">
        <f aca="false">A6</f>
        <v>Sprzątanie biura / gabinetu – wizyta ok. 2 h</v>
      </c>
      <c r="C22" s="54" t="n">
        <f aca="false">ROUND($C6*C$19*C$20,0)</f>
        <v>13</v>
      </c>
      <c r="D22" s="54" t="n">
        <f aca="false">ROUND($C6*D$19*D$20,0)</f>
        <v>20</v>
      </c>
      <c r="E22" s="54" t="n">
        <f aca="false">ROUND($C6*E$19*E$20,0)</f>
        <v>21</v>
      </c>
      <c r="F22" s="54" t="n">
        <f aca="false">ROUND($C6*F$19*F$20,0)</f>
        <v>24</v>
      </c>
      <c r="G22" s="54" t="n">
        <f aca="false">ROUND($C6*G$19*G$20,0)</f>
        <v>20</v>
      </c>
      <c r="H22" s="54" t="n">
        <f aca="false">ROUND($C6*H$19*H$20,0)</f>
        <v>20</v>
      </c>
      <c r="I22" s="54" t="n">
        <f aca="false">ROUND($C6*I$19*I$20,0)</f>
        <v>24</v>
      </c>
      <c r="J22" s="54" t="n">
        <f aca="false">ROUND($C6*J$19*J$20,0)</f>
        <v>25</v>
      </c>
      <c r="K22" s="54" t="n">
        <f aca="false">ROUND($C6*K$19*K$20,0)</f>
        <v>25</v>
      </c>
      <c r="L22" s="54" t="n">
        <f aca="false">ROUND($C6*L$19*L$20,0)</f>
        <v>28</v>
      </c>
      <c r="M22" s="54" t="n">
        <f aca="false">ROUND($C6*M$19*M$20,0)</f>
        <v>20</v>
      </c>
      <c r="N22" s="54" t="n">
        <f aca="false">ROUND($C6*N$19*N$20,0)</f>
        <v>20</v>
      </c>
      <c r="O22" s="54" t="n">
        <f aca="false">SUM(C22:N22)</f>
        <v>260</v>
      </c>
    </row>
    <row r="23" customFormat="false" ht="15" hidden="false" customHeight="true" outlineLevel="0" collapsed="false">
      <c r="A23" s="10" t="str">
        <f aca="false">A7</f>
        <v>Sprzątanie klatki schodowej – wizyta</v>
      </c>
      <c r="C23" s="54" t="n">
        <f aca="false">ROUND($C7*C$19*C$20,0)</f>
        <v>10</v>
      </c>
      <c r="D23" s="54" t="n">
        <f aca="false">ROUND($C7*D$19*D$20,0)</f>
        <v>15</v>
      </c>
      <c r="E23" s="54" t="n">
        <f aca="false">ROUND($C7*E$19*E$20,0)</f>
        <v>16</v>
      </c>
      <c r="F23" s="54" t="n">
        <f aca="false">ROUND($C7*F$19*F$20,0)</f>
        <v>18</v>
      </c>
      <c r="G23" s="54" t="n">
        <f aca="false">ROUND($C7*G$19*G$20,0)</f>
        <v>15</v>
      </c>
      <c r="H23" s="54" t="n">
        <f aca="false">ROUND($C7*H$19*H$20,0)</f>
        <v>15</v>
      </c>
      <c r="I23" s="54" t="n">
        <f aca="false">ROUND($C7*I$19*I$20,0)</f>
        <v>18</v>
      </c>
      <c r="J23" s="54" t="n">
        <f aca="false">ROUND($C7*J$19*J$20,0)</f>
        <v>19</v>
      </c>
      <c r="K23" s="54" t="n">
        <f aca="false">ROUND($C7*K$19*K$20,0)</f>
        <v>19</v>
      </c>
      <c r="L23" s="54" t="n">
        <f aca="false">ROUND($C7*L$19*L$20,0)</f>
        <v>21</v>
      </c>
      <c r="M23" s="54" t="n">
        <f aca="false">ROUND($C7*M$19*M$20,0)</f>
        <v>15</v>
      </c>
      <c r="N23" s="54" t="n">
        <f aca="false">ROUND($C7*N$19*N$20,0)</f>
        <v>15</v>
      </c>
      <c r="O23" s="54" t="n">
        <f aca="false">SUM(C23:N23)</f>
        <v>196</v>
      </c>
    </row>
    <row r="24" customFormat="false" ht="15" hidden="false" customHeight="true" outlineLevel="0" collapsed="false">
      <c r="A24" s="10" t="str">
        <f aca="false">A8</f>
        <v>Mycie okna dwuskrzydłowego</v>
      </c>
      <c r="C24" s="54" t="n">
        <f aca="false">ROUND($C8*C$19*C$20,0)</f>
        <v>17</v>
      </c>
      <c r="D24" s="54" t="n">
        <f aca="false">ROUND($C8*D$19*D$20,0)</f>
        <v>25</v>
      </c>
      <c r="E24" s="54" t="n">
        <f aca="false">ROUND($C8*E$19*E$20,0)</f>
        <v>27</v>
      </c>
      <c r="F24" s="54" t="n">
        <f aca="false">ROUND($C8*F$19*F$20,0)</f>
        <v>30</v>
      </c>
      <c r="G24" s="54" t="n">
        <f aca="false">ROUND($C8*G$19*G$20,0)</f>
        <v>26</v>
      </c>
      <c r="H24" s="54" t="n">
        <f aca="false">ROUND($C8*H$19*H$20,0)</f>
        <v>26</v>
      </c>
      <c r="I24" s="54" t="n">
        <f aca="false">ROUND($C8*I$19*I$20,0)</f>
        <v>30</v>
      </c>
      <c r="J24" s="54" t="n">
        <f aca="false">ROUND($C8*J$19*J$20,0)</f>
        <v>32</v>
      </c>
      <c r="K24" s="54" t="n">
        <f aca="false">ROUND($C8*K$19*K$20,0)</f>
        <v>32</v>
      </c>
      <c r="L24" s="54" t="n">
        <f aca="false">ROUND($C8*L$19*L$20,0)</f>
        <v>35</v>
      </c>
      <c r="M24" s="54" t="n">
        <f aca="false">ROUND($C8*M$19*M$20,0)</f>
        <v>26</v>
      </c>
      <c r="N24" s="54" t="n">
        <f aca="false">ROUND($C8*N$19*N$20,0)</f>
        <v>26</v>
      </c>
      <c r="O24" s="54" t="n">
        <f aca="false">SUM(C24:N24)</f>
        <v>332</v>
      </c>
    </row>
    <row r="25" customFormat="false" ht="15" hidden="false" customHeight="true" outlineLevel="0" collapsed="false">
      <c r="A25" s="10" t="str">
        <f aca="false">A9</f>
        <v>Sprzątanie jednorazowe: mieszkanie lub po remoncie (średnio)</v>
      </c>
      <c r="C25" s="54" t="n">
        <f aca="false">ROUND($C9*C$19*C$20,0)</f>
        <v>2</v>
      </c>
      <c r="D25" s="54" t="n">
        <f aca="false">ROUND($C9*D$19*D$20,0)</f>
        <v>3</v>
      </c>
      <c r="E25" s="54" t="n">
        <f aca="false">ROUND($C9*E$19*E$20,0)</f>
        <v>3</v>
      </c>
      <c r="F25" s="54" t="n">
        <f aca="false">ROUND($C9*F$19*F$20,0)</f>
        <v>3</v>
      </c>
      <c r="G25" s="54" t="n">
        <f aca="false">ROUND($C9*G$19*G$20,0)</f>
        <v>3</v>
      </c>
      <c r="H25" s="54" t="n">
        <f aca="false">ROUND($C9*H$19*H$20,0)</f>
        <v>3</v>
      </c>
      <c r="I25" s="54" t="n">
        <f aca="false">ROUND($C9*I$19*I$20,0)</f>
        <v>3</v>
      </c>
      <c r="J25" s="54" t="n">
        <f aca="false">ROUND($C9*J$19*J$20,0)</f>
        <v>3</v>
      </c>
      <c r="K25" s="54" t="n">
        <f aca="false">ROUND($C9*K$19*K$20,0)</f>
        <v>3</v>
      </c>
      <c r="L25" s="54" t="n">
        <f aca="false">ROUND($C9*L$19*L$20,0)</f>
        <v>3</v>
      </c>
      <c r="M25" s="54" t="n">
        <f aca="false">ROUND($C9*M$19*M$20,0)</f>
        <v>3</v>
      </c>
      <c r="N25" s="54" t="n">
        <f aca="false">ROUND($C9*N$19*N$20,0)</f>
        <v>3</v>
      </c>
      <c r="O25" s="54" t="n">
        <f aca="false">SUM(C25:N25)</f>
        <v>35</v>
      </c>
    </row>
    <row r="26" customFormat="false" ht="15" hidden="false" customHeight="true" outlineLevel="0" collapsed="false">
      <c r="A26" s="10" t="str">
        <f aca="false">A10</f>
        <v>Pranie wykładziny lub tapicerki (średnio na zlecenie)</v>
      </c>
      <c r="C26" s="54" t="n">
        <f aca="false">ROUND($C10*C$19*C$20,0)</f>
        <v>2</v>
      </c>
      <c r="D26" s="54" t="n">
        <f aca="false">ROUND($C10*D$19*D$20,0)</f>
        <v>3</v>
      </c>
      <c r="E26" s="54" t="n">
        <f aca="false">ROUND($C10*E$19*E$20,0)</f>
        <v>3</v>
      </c>
      <c r="F26" s="54" t="n">
        <f aca="false">ROUND($C10*F$19*F$20,0)</f>
        <v>3</v>
      </c>
      <c r="G26" s="54" t="n">
        <f aca="false">ROUND($C10*G$19*G$20,0)</f>
        <v>3</v>
      </c>
      <c r="H26" s="54" t="n">
        <f aca="false">ROUND($C10*H$19*H$20,0)</f>
        <v>3</v>
      </c>
      <c r="I26" s="54" t="n">
        <f aca="false">ROUND($C10*I$19*I$20,0)</f>
        <v>3</v>
      </c>
      <c r="J26" s="54" t="n">
        <f aca="false">ROUND($C10*J$19*J$20,0)</f>
        <v>3</v>
      </c>
      <c r="K26" s="54" t="n">
        <f aca="false">ROUND($C10*K$19*K$20,0)</f>
        <v>3</v>
      </c>
      <c r="L26" s="54" t="n">
        <f aca="false">ROUND($C10*L$19*L$20,0)</f>
        <v>3</v>
      </c>
      <c r="M26" s="54" t="n">
        <f aca="false">ROUND($C10*M$19*M$20,0)</f>
        <v>3</v>
      </c>
      <c r="N26" s="54" t="n">
        <f aca="false">ROUND($C10*N$19*N$20,0)</f>
        <v>3</v>
      </c>
      <c r="O26" s="54" t="n">
        <f aca="false">SUM(C26:N26)</f>
        <v>35</v>
      </c>
    </row>
    <row r="27" customFormat="false" ht="15" hidden="false" customHeight="true" outlineLevel="0" collapsed="false">
      <c r="A27" s="5" t="s">
        <v>304</v>
      </c>
    </row>
    <row r="28" customFormat="false" ht="15" hidden="false" customHeight="true" outlineLevel="0" collapsed="false">
      <c r="A28" s="10" t="str">
        <f aca="false">A6</f>
        <v>Sprzątanie biura / gabinetu – wizyta ok. 2 h</v>
      </c>
      <c r="C28" s="25" t="n">
        <f aca="false">C22*$E$6</f>
        <v>1300</v>
      </c>
      <c r="D28" s="25" t="n">
        <f aca="false">D22*$E$6</f>
        <v>2000</v>
      </c>
      <c r="E28" s="25" t="n">
        <f aca="false">E22*$E$6</f>
        <v>2100</v>
      </c>
      <c r="F28" s="25" t="n">
        <f aca="false">F22*$E$6</f>
        <v>2400</v>
      </c>
      <c r="G28" s="25" t="n">
        <f aca="false">G22*$E$6</f>
        <v>2000</v>
      </c>
      <c r="H28" s="25" t="n">
        <f aca="false">H22*$E$6</f>
        <v>2000</v>
      </c>
      <c r="I28" s="25" t="n">
        <f aca="false">I22*$E$6</f>
        <v>2400</v>
      </c>
      <c r="J28" s="25" t="n">
        <f aca="false">J22*$E$6</f>
        <v>2500</v>
      </c>
      <c r="K28" s="25" t="n">
        <f aca="false">K22*$E$6</f>
        <v>2500</v>
      </c>
      <c r="L28" s="25" t="n">
        <f aca="false">L22*$E$6</f>
        <v>2800</v>
      </c>
      <c r="M28" s="25" t="n">
        <f aca="false">M22*$E$6</f>
        <v>2000</v>
      </c>
      <c r="N28" s="25" t="n">
        <f aca="false">N22*$E$6</f>
        <v>2000</v>
      </c>
      <c r="O28" s="25" t="n">
        <f aca="false">SUM(C28:N28)</f>
        <v>26000</v>
      </c>
    </row>
    <row r="29" customFormat="false" ht="15" hidden="false" customHeight="true" outlineLevel="0" collapsed="false">
      <c r="A29" s="10" t="str">
        <f aca="false">A7</f>
        <v>Sprzątanie klatki schodowej – wizyta</v>
      </c>
      <c r="C29" s="25" t="n">
        <f aca="false">C23*$E$7</f>
        <v>900</v>
      </c>
      <c r="D29" s="25" t="n">
        <f aca="false">D23*$E$7</f>
        <v>1350</v>
      </c>
      <c r="E29" s="25" t="n">
        <f aca="false">E23*$E$7</f>
        <v>1440</v>
      </c>
      <c r="F29" s="25" t="n">
        <f aca="false">F23*$E$7</f>
        <v>1620</v>
      </c>
      <c r="G29" s="25" t="n">
        <f aca="false">G23*$E$7</f>
        <v>1350</v>
      </c>
      <c r="H29" s="25" t="n">
        <f aca="false">H23*$E$7</f>
        <v>1350</v>
      </c>
      <c r="I29" s="25" t="n">
        <f aca="false">I23*$E$7</f>
        <v>1620</v>
      </c>
      <c r="J29" s="25" t="n">
        <f aca="false">J23*$E$7</f>
        <v>1710</v>
      </c>
      <c r="K29" s="25" t="n">
        <f aca="false">K23*$E$7</f>
        <v>1710</v>
      </c>
      <c r="L29" s="25" t="n">
        <f aca="false">L23*$E$7</f>
        <v>1890</v>
      </c>
      <c r="M29" s="25" t="n">
        <f aca="false">M23*$E$7</f>
        <v>1350</v>
      </c>
      <c r="N29" s="25" t="n">
        <f aca="false">N23*$E$7</f>
        <v>1350</v>
      </c>
      <c r="O29" s="25" t="n">
        <f aca="false">SUM(C29:N29)</f>
        <v>17640</v>
      </c>
    </row>
    <row r="30" customFormat="false" ht="15" hidden="false" customHeight="true" outlineLevel="0" collapsed="false">
      <c r="A30" s="10" t="str">
        <f aca="false">A8</f>
        <v>Mycie okna dwuskrzydłowego</v>
      </c>
      <c r="C30" s="25" t="n">
        <f aca="false">C24*$E$8</f>
        <v>765</v>
      </c>
      <c r="D30" s="25" t="n">
        <f aca="false">D24*$E$8</f>
        <v>1125</v>
      </c>
      <c r="E30" s="25" t="n">
        <f aca="false">E24*$E$8</f>
        <v>1215</v>
      </c>
      <c r="F30" s="25" t="n">
        <f aca="false">F24*$E$8</f>
        <v>1350</v>
      </c>
      <c r="G30" s="25" t="n">
        <f aca="false">G24*$E$8</f>
        <v>1170</v>
      </c>
      <c r="H30" s="25" t="n">
        <f aca="false">H24*$E$8</f>
        <v>1170</v>
      </c>
      <c r="I30" s="25" t="n">
        <f aca="false">I24*$E$8</f>
        <v>1350</v>
      </c>
      <c r="J30" s="25" t="n">
        <f aca="false">J24*$E$8</f>
        <v>1440</v>
      </c>
      <c r="K30" s="25" t="n">
        <f aca="false">K24*$E$8</f>
        <v>1440</v>
      </c>
      <c r="L30" s="25" t="n">
        <f aca="false">L24*$E$8</f>
        <v>1575</v>
      </c>
      <c r="M30" s="25" t="n">
        <f aca="false">M24*$E$8</f>
        <v>1170</v>
      </c>
      <c r="N30" s="25" t="n">
        <f aca="false">N24*$E$8</f>
        <v>1170</v>
      </c>
      <c r="O30" s="25" t="n">
        <f aca="false">SUM(C30:N30)</f>
        <v>14940</v>
      </c>
    </row>
    <row r="31" customFormat="false" ht="15" hidden="false" customHeight="true" outlineLevel="0" collapsed="false">
      <c r="A31" s="10" t="str">
        <f aca="false">A9</f>
        <v>Sprzątanie jednorazowe: mieszkanie lub po remoncie (średnio)</v>
      </c>
      <c r="C31" s="25" t="n">
        <f aca="false">C25*$E$9</f>
        <v>900</v>
      </c>
      <c r="D31" s="25" t="n">
        <f aca="false">D25*$E$9</f>
        <v>1350</v>
      </c>
      <c r="E31" s="25" t="n">
        <f aca="false">E25*$E$9</f>
        <v>1350</v>
      </c>
      <c r="F31" s="25" t="n">
        <f aca="false">F25*$E$9</f>
        <v>1350</v>
      </c>
      <c r="G31" s="25" t="n">
        <f aca="false">G25*$E$9</f>
        <v>1350</v>
      </c>
      <c r="H31" s="25" t="n">
        <f aca="false">H25*$E$9</f>
        <v>1350</v>
      </c>
      <c r="I31" s="25" t="n">
        <f aca="false">I25*$E$9</f>
        <v>1350</v>
      </c>
      <c r="J31" s="25" t="n">
        <f aca="false">J25*$E$9</f>
        <v>1350</v>
      </c>
      <c r="K31" s="25" t="n">
        <f aca="false">K25*$E$9</f>
        <v>1350</v>
      </c>
      <c r="L31" s="25" t="n">
        <f aca="false">L25*$E$9</f>
        <v>1350</v>
      </c>
      <c r="M31" s="25" t="n">
        <f aca="false">M25*$E$9</f>
        <v>1350</v>
      </c>
      <c r="N31" s="25" t="n">
        <f aca="false">N25*$E$9</f>
        <v>1350</v>
      </c>
      <c r="O31" s="25" t="n">
        <f aca="false">SUM(C31:N31)</f>
        <v>15750</v>
      </c>
    </row>
    <row r="32" customFormat="false" ht="15" hidden="false" customHeight="true" outlineLevel="0" collapsed="false">
      <c r="A32" s="10" t="str">
        <f aca="false">A10</f>
        <v>Pranie wykładziny lub tapicerki (średnio na zlecenie)</v>
      </c>
      <c r="C32" s="25" t="n">
        <f aca="false">C26*$E$10</f>
        <v>500</v>
      </c>
      <c r="D32" s="25" t="n">
        <f aca="false">D26*$E$10</f>
        <v>750</v>
      </c>
      <c r="E32" s="25" t="n">
        <f aca="false">E26*$E$10</f>
        <v>750</v>
      </c>
      <c r="F32" s="25" t="n">
        <f aca="false">F26*$E$10</f>
        <v>750</v>
      </c>
      <c r="G32" s="25" t="n">
        <f aca="false">G26*$E$10</f>
        <v>750</v>
      </c>
      <c r="H32" s="25" t="n">
        <f aca="false">H26*$E$10</f>
        <v>750</v>
      </c>
      <c r="I32" s="25" t="n">
        <f aca="false">I26*$E$10</f>
        <v>750</v>
      </c>
      <c r="J32" s="25" t="n">
        <f aca="false">J26*$E$10</f>
        <v>750</v>
      </c>
      <c r="K32" s="25" t="n">
        <f aca="false">K26*$E$10</f>
        <v>750</v>
      </c>
      <c r="L32" s="25" t="n">
        <f aca="false">L26*$E$10</f>
        <v>750</v>
      </c>
      <c r="M32" s="25" t="n">
        <f aca="false">M26*$E$10</f>
        <v>750</v>
      </c>
      <c r="N32" s="25" t="n">
        <f aca="false">N26*$E$10</f>
        <v>750</v>
      </c>
      <c r="O32" s="25" t="n">
        <f aca="false">SUM(C32:N32)</f>
        <v>8750</v>
      </c>
    </row>
    <row r="33" customFormat="false" ht="15" hidden="false" customHeight="true" outlineLevel="0" collapsed="false">
      <c r="A33" s="40" t="s">
        <v>305</v>
      </c>
      <c r="B33" s="40"/>
      <c r="C33" s="41" t="n">
        <f aca="false">SUM(C28:C32)</f>
        <v>4365</v>
      </c>
      <c r="D33" s="41" t="n">
        <f aca="false">SUM(D28:D32)</f>
        <v>6575</v>
      </c>
      <c r="E33" s="41" t="n">
        <f aca="false">SUM(E28:E32)</f>
        <v>6855</v>
      </c>
      <c r="F33" s="41" t="n">
        <f aca="false">SUM(F28:F32)</f>
        <v>7470</v>
      </c>
      <c r="G33" s="41" t="n">
        <f aca="false">SUM(G28:G32)</f>
        <v>6620</v>
      </c>
      <c r="H33" s="41" t="n">
        <f aca="false">SUM(H28:H32)</f>
        <v>6620</v>
      </c>
      <c r="I33" s="41" t="n">
        <f aca="false">SUM(I28:I32)</f>
        <v>7470</v>
      </c>
      <c r="J33" s="41" t="n">
        <f aca="false">SUM(J28:J32)</f>
        <v>7750</v>
      </c>
      <c r="K33" s="41" t="n">
        <f aca="false">SUM(K28:K32)</f>
        <v>7750</v>
      </c>
      <c r="L33" s="41" t="n">
        <f aca="false">SUM(L28:L32)</f>
        <v>8365</v>
      </c>
      <c r="M33" s="41" t="n">
        <f aca="false">SUM(M28:M32)</f>
        <v>6620</v>
      </c>
      <c r="N33" s="41" t="n">
        <f aca="false">SUM(N28:N32)</f>
        <v>6620</v>
      </c>
      <c r="O33" s="41" t="n">
        <f aca="false">SUM(C33:N33)</f>
        <v>83080</v>
      </c>
    </row>
    <row r="34" customFormat="false" ht="15" hidden="false" customHeight="true" outlineLevel="0" collapsed="false">
      <c r="A34" s="6" t="s">
        <v>306</v>
      </c>
      <c r="C34" s="54" t="n">
        <f aca="false">SUM(C22:C26)</f>
        <v>44</v>
      </c>
      <c r="D34" s="54" t="n">
        <f aca="false">SUM(D22:D26)</f>
        <v>66</v>
      </c>
      <c r="E34" s="54" t="n">
        <f aca="false">SUM(E22:E26)</f>
        <v>70</v>
      </c>
      <c r="F34" s="54" t="n">
        <f aca="false">SUM(F22:F26)</f>
        <v>78</v>
      </c>
      <c r="G34" s="54" t="n">
        <f aca="false">SUM(G22:G26)</f>
        <v>67</v>
      </c>
      <c r="H34" s="54" t="n">
        <f aca="false">SUM(H22:H26)</f>
        <v>67</v>
      </c>
      <c r="I34" s="54" t="n">
        <f aca="false">SUM(I22:I26)</f>
        <v>78</v>
      </c>
      <c r="J34" s="54" t="n">
        <f aca="false">SUM(J22:J26)</f>
        <v>82</v>
      </c>
      <c r="K34" s="54" t="n">
        <f aca="false">SUM(K22:K26)</f>
        <v>82</v>
      </c>
      <c r="L34" s="54" t="n">
        <f aca="false">SUM(L22:L26)</f>
        <v>90</v>
      </c>
      <c r="M34" s="54" t="n">
        <f aca="false">SUM(M22:M26)</f>
        <v>67</v>
      </c>
      <c r="N34" s="54" t="n">
        <f aca="false">SUM(N22:N26)</f>
        <v>67</v>
      </c>
      <c r="O34" s="54" t="n">
        <f aca="false">SUM(C34:N34)</f>
        <v>858</v>
      </c>
    </row>
    <row r="35" customFormat="false" ht="15" hidden="false" customHeight="true" outlineLevel="0" collapsed="false">
      <c r="A35" s="16" t="s">
        <v>307</v>
      </c>
    </row>
    <row r="36" customFormat="false" ht="15" hidden="false" customHeight="true" outlineLevel="0" collapsed="false">
      <c r="A36" s="6" t="s">
        <v>308</v>
      </c>
      <c r="C36" s="55" t="n">
        <f aca="false">SUMPRODUCT($D$6:$D$10,C22:C26)</f>
        <v>64.8</v>
      </c>
      <c r="D36" s="55" t="n">
        <f aca="false">SUMPRODUCT($D$6:$D$10,D22:D26)</f>
        <v>98</v>
      </c>
      <c r="E36" s="55" t="n">
        <f aca="false">SUMPRODUCT($D$6:$D$10,E22:E26)</f>
        <v>102.3</v>
      </c>
      <c r="F36" s="55" t="n">
        <f aca="false">SUMPRODUCT($D$6:$D$10,F22:F26)</f>
        <v>112.5</v>
      </c>
      <c r="G36" s="55" t="n">
        <f aca="false">SUMPRODUCT($D$6:$D$10,G22:G26)</f>
        <v>98.4</v>
      </c>
      <c r="H36" s="55" t="n">
        <f aca="false">SUMPRODUCT($D$6:$D$10,H22:H26)</f>
        <v>98.4</v>
      </c>
      <c r="I36" s="55" t="n">
        <f aca="false">SUMPRODUCT($D$6:$D$10,I22:I26)</f>
        <v>112.5</v>
      </c>
      <c r="J36" s="55" t="n">
        <f aca="false">SUMPRODUCT($D$6:$D$10,J22:J26)</f>
        <v>116.8</v>
      </c>
      <c r="K36" s="55" t="n">
        <f aca="false">SUMPRODUCT($D$6:$D$10,K22:K26)</f>
        <v>116.8</v>
      </c>
      <c r="L36" s="55" t="n">
        <f aca="false">SUMPRODUCT($D$6:$D$10,L22:L26)</f>
        <v>127</v>
      </c>
      <c r="M36" s="55" t="n">
        <f aca="false">SUMPRODUCT($D$6:$D$10,M22:M26)</f>
        <v>98.4</v>
      </c>
      <c r="N36" s="55" t="n">
        <f aca="false">SUMPRODUCT($D$6:$D$10,N22:N26)</f>
        <v>98.4</v>
      </c>
      <c r="O36" s="55" t="n">
        <f aca="false">SUM(C36:N36)</f>
        <v>1244.3</v>
      </c>
    </row>
    <row r="37" customFormat="false" ht="15" hidden="false" customHeight="true" outlineLevel="0" collapsed="false">
      <c r="A37" s="6" t="s">
        <v>309</v>
      </c>
      <c r="C37" s="56" t="n">
        <f aca="false">DniRobocze*GodzinyDzien</f>
        <v>147</v>
      </c>
      <c r="D37" s="56" t="n">
        <f aca="false">DniRobocze*GodzinyDzien</f>
        <v>147</v>
      </c>
      <c r="E37" s="56" t="n">
        <f aca="false">DniRobocze*GodzinyDzien</f>
        <v>147</v>
      </c>
      <c r="F37" s="56" t="n">
        <f aca="false">DniRobocze*GodzinyDzien</f>
        <v>147</v>
      </c>
      <c r="G37" s="56" t="n">
        <f aca="false">DniRobocze*GodzinyDzien</f>
        <v>147</v>
      </c>
      <c r="H37" s="56" t="n">
        <f aca="false">DniRobocze*GodzinyDzien</f>
        <v>147</v>
      </c>
      <c r="I37" s="56" t="n">
        <f aca="false">DniRobocze*GodzinyDzien</f>
        <v>147</v>
      </c>
      <c r="J37" s="56" t="n">
        <f aca="false">DniRobocze*GodzinyDzien</f>
        <v>147</v>
      </c>
      <c r="K37" s="56" t="n">
        <f aca="false">DniRobocze*GodzinyDzien</f>
        <v>147</v>
      </c>
      <c r="L37" s="56" t="n">
        <f aca="false">DniRobocze*GodzinyDzien</f>
        <v>147</v>
      </c>
      <c r="M37" s="56" t="n">
        <f aca="false">DniRobocze*GodzinyDzien</f>
        <v>147</v>
      </c>
      <c r="N37" s="56" t="n">
        <f aca="false">DniRobocze*GodzinyDzien</f>
        <v>147</v>
      </c>
      <c r="O37" s="55" t="n">
        <f aca="false">SUM(C37:N37)</f>
        <v>1764</v>
      </c>
    </row>
    <row r="38" customFormat="false" ht="15" hidden="false" customHeight="true" outlineLevel="0" collapsed="false">
      <c r="A38" s="6" t="s">
        <v>310</v>
      </c>
      <c r="C38" s="57" t="n">
        <f aca="false">IF(C37&gt;0,C36/C37,0)</f>
        <v>0.440816326530612</v>
      </c>
      <c r="D38" s="57" t="n">
        <f aca="false">IF(D37&gt;0,D36/D37,0)</f>
        <v>0.666666666666667</v>
      </c>
      <c r="E38" s="57" t="n">
        <f aca="false">IF(E37&gt;0,E36/E37,0)</f>
        <v>0.695918367346939</v>
      </c>
      <c r="F38" s="57" t="n">
        <f aca="false">IF(F37&gt;0,F36/F37,0)</f>
        <v>0.76530612244898</v>
      </c>
      <c r="G38" s="57" t="n">
        <f aca="false">IF(G37&gt;0,G36/G37,0)</f>
        <v>0.669387755102041</v>
      </c>
      <c r="H38" s="57" t="n">
        <f aca="false">IF(H37&gt;0,H36/H37,0)</f>
        <v>0.669387755102041</v>
      </c>
      <c r="I38" s="57" t="n">
        <f aca="false">IF(I37&gt;0,I36/I37,0)</f>
        <v>0.76530612244898</v>
      </c>
      <c r="J38" s="57" t="n">
        <f aca="false">IF(J37&gt;0,J36/J37,0)</f>
        <v>0.794557823129252</v>
      </c>
      <c r="K38" s="57" t="n">
        <f aca="false">IF(K37&gt;0,K36/K37,0)</f>
        <v>0.794557823129252</v>
      </c>
      <c r="L38" s="57" t="n">
        <f aca="false">IF(L37&gt;0,L36/L37,0)</f>
        <v>0.863945578231293</v>
      </c>
      <c r="M38" s="57" t="n">
        <f aca="false">IF(M37&gt;0,M36/M37,0)</f>
        <v>0.669387755102041</v>
      </c>
      <c r="N38" s="57" t="n">
        <f aca="false">IF(N37&gt;0,N36/N37,0)</f>
        <v>0.669387755102041</v>
      </c>
      <c r="O38" s="57" t="n">
        <f aca="false">IF(O37&gt;0,O36/O37,0)</f>
        <v>0.705385487528345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3"/>
    <col collapsed="false" customWidth="true" hidden="false" outlineLevel="0" max="15" min="3" style="1" width="12"/>
  </cols>
  <sheetData>
    <row r="1" customFormat="false" ht="17.25" hidden="false" customHeight="true" outlineLevel="0" collapsed="false">
      <c r="A1" s="2" t="s">
        <v>311</v>
      </c>
    </row>
    <row r="2" customFormat="false" ht="15" hidden="false" customHeight="true" outlineLevel="0" collapsed="false">
      <c r="A2" s="3" t="s">
        <v>312</v>
      </c>
    </row>
    <row r="4" customFormat="false" ht="15" hidden="false" customHeight="true" outlineLevel="0" collapsed="false">
      <c r="A4" s="46" t="s">
        <v>299</v>
      </c>
      <c r="B4" s="50"/>
      <c r="C4" s="51" t="n">
        <v>1</v>
      </c>
      <c r="D4" s="52" t="n">
        <f aca="false">C4+1</f>
        <v>2</v>
      </c>
      <c r="E4" s="52" t="n">
        <f aca="false">D4+1</f>
        <v>3</v>
      </c>
      <c r="F4" s="52" t="n">
        <f aca="false">E4+1</f>
        <v>4</v>
      </c>
      <c r="G4" s="52" t="n">
        <f aca="false">F4+1</f>
        <v>5</v>
      </c>
      <c r="H4" s="52" t="n">
        <f aca="false">G4+1</f>
        <v>6</v>
      </c>
      <c r="I4" s="52" t="n">
        <f aca="false">H4+1</f>
        <v>7</v>
      </c>
      <c r="J4" s="52" t="n">
        <f aca="false">I4+1</f>
        <v>8</v>
      </c>
      <c r="K4" s="52" t="n">
        <f aca="false">J4+1</f>
        <v>9</v>
      </c>
      <c r="L4" s="52" t="n">
        <f aca="false">K4+1</f>
        <v>10</v>
      </c>
      <c r="M4" s="52" t="n">
        <f aca="false">L4+1</f>
        <v>11</v>
      </c>
      <c r="N4" s="52" t="n">
        <f aca="false">M4+1</f>
        <v>12</v>
      </c>
      <c r="O4" s="46" t="s">
        <v>300</v>
      </c>
    </row>
    <row r="5" customFormat="false" ht="15" hidden="false" customHeight="true" outlineLevel="0" collapsed="false">
      <c r="A5" s="46" t="s">
        <v>283</v>
      </c>
      <c r="B5" s="50"/>
      <c r="C5" s="53" t="n">
        <f aca="false">EDATE(DataStartu,C4-1)</f>
        <v>46447</v>
      </c>
      <c r="D5" s="53" t="n">
        <f aca="false">EDATE(DataStartu,D4-1)</f>
        <v>46478</v>
      </c>
      <c r="E5" s="53" t="n">
        <f aca="false">EDATE(DataStartu,E4-1)</f>
        <v>46508</v>
      </c>
      <c r="F5" s="53" t="n">
        <f aca="false">EDATE(DataStartu,F4-1)</f>
        <v>46539</v>
      </c>
      <c r="G5" s="53" t="n">
        <f aca="false">EDATE(DataStartu,G4-1)</f>
        <v>46569</v>
      </c>
      <c r="H5" s="53" t="n">
        <f aca="false">EDATE(DataStartu,H4-1)</f>
        <v>46600</v>
      </c>
      <c r="I5" s="53" t="n">
        <f aca="false">EDATE(DataStartu,I4-1)</f>
        <v>46631</v>
      </c>
      <c r="J5" s="53" t="n">
        <f aca="false">EDATE(DataStartu,J4-1)</f>
        <v>46661</v>
      </c>
      <c r="K5" s="53" t="n">
        <f aca="false">EDATE(DataStartu,K4-1)</f>
        <v>46692</v>
      </c>
      <c r="L5" s="53" t="n">
        <f aca="false">EDATE(DataStartu,L4-1)</f>
        <v>46722</v>
      </c>
      <c r="M5" s="53" t="n">
        <f aca="false">EDATE(DataStartu,M4-1)</f>
        <v>46753</v>
      </c>
      <c r="N5" s="53" t="n">
        <f aca="false">EDATE(DataStartu,N4-1)</f>
        <v>46784</v>
      </c>
      <c r="O5" s="50"/>
    </row>
    <row r="6" customFormat="false" ht="15" hidden="false" customHeight="true" outlineLevel="0" collapsed="false">
      <c r="A6" s="6" t="s">
        <v>313</v>
      </c>
      <c r="C6" s="58" t="n">
        <f aca="false">YEAR(C5)</f>
        <v>2027</v>
      </c>
      <c r="D6" s="58" t="n">
        <f aca="false">YEAR(D5)</f>
        <v>2027</v>
      </c>
      <c r="E6" s="58" t="n">
        <f aca="false">YEAR(E5)</f>
        <v>2027</v>
      </c>
      <c r="F6" s="58" t="n">
        <f aca="false">YEAR(F5)</f>
        <v>2027</v>
      </c>
      <c r="G6" s="58" t="n">
        <f aca="false">YEAR(G5)</f>
        <v>2027</v>
      </c>
      <c r="H6" s="58" t="n">
        <f aca="false">YEAR(H5)</f>
        <v>2027</v>
      </c>
      <c r="I6" s="58" t="n">
        <f aca="false">YEAR(I5)</f>
        <v>2027</v>
      </c>
      <c r="J6" s="58" t="n">
        <f aca="false">YEAR(J5)</f>
        <v>2027</v>
      </c>
      <c r="K6" s="58" t="n">
        <f aca="false">YEAR(K5)</f>
        <v>2027</v>
      </c>
      <c r="L6" s="58" t="n">
        <f aca="false">YEAR(L5)</f>
        <v>2027</v>
      </c>
      <c r="M6" s="58" t="n">
        <f aca="false">YEAR(M5)</f>
        <v>2028</v>
      </c>
      <c r="N6" s="58" t="n">
        <f aca="false">YEAR(N5)</f>
        <v>2028</v>
      </c>
    </row>
    <row r="8" customFormat="false" ht="15" hidden="false" customHeight="true" outlineLevel="0" collapsed="false">
      <c r="A8" s="16" t="s">
        <v>314</v>
      </c>
      <c r="B8" s="5" t="s">
        <v>315</v>
      </c>
    </row>
    <row r="9" customFormat="false" ht="15" hidden="false" customHeight="true" outlineLevel="0" collapsed="false">
      <c r="A9" s="6" t="s">
        <v>316</v>
      </c>
      <c r="B9" s="9" t="n">
        <v>0</v>
      </c>
      <c r="C9" s="25" t="n">
        <f aca="false">$B9</f>
        <v>0</v>
      </c>
      <c r="D9" s="25" t="n">
        <f aca="false">$B9</f>
        <v>0</v>
      </c>
      <c r="E9" s="25" t="n">
        <f aca="false">$B9</f>
        <v>0</v>
      </c>
      <c r="F9" s="25" t="n">
        <f aca="false">$B9</f>
        <v>0</v>
      </c>
      <c r="G9" s="25" t="n">
        <f aca="false">$B9</f>
        <v>0</v>
      </c>
      <c r="H9" s="25" t="n">
        <f aca="false">$B9</f>
        <v>0</v>
      </c>
      <c r="I9" s="25" t="n">
        <f aca="false">$B9</f>
        <v>0</v>
      </c>
      <c r="J9" s="25" t="n">
        <f aca="false">$B9</f>
        <v>0</v>
      </c>
      <c r="K9" s="25" t="n">
        <f aca="false">$B9</f>
        <v>0</v>
      </c>
      <c r="L9" s="25" t="n">
        <f aca="false">$B9</f>
        <v>0</v>
      </c>
      <c r="M9" s="25" t="n">
        <f aca="false">$B9</f>
        <v>0</v>
      </c>
      <c r="N9" s="25" t="n">
        <f aca="false">$B9</f>
        <v>0</v>
      </c>
      <c r="O9" s="25" t="n">
        <f aca="false">SUM(C9:N9)</f>
        <v>0</v>
      </c>
    </row>
    <row r="10" customFormat="false" ht="15" hidden="false" customHeight="true" outlineLevel="0" collapsed="false">
      <c r="A10" s="6" t="s">
        <v>317</v>
      </c>
      <c r="B10" s="9" t="n">
        <v>0</v>
      </c>
      <c r="C10" s="25" t="n">
        <f aca="false">$B10</f>
        <v>0</v>
      </c>
      <c r="D10" s="25" t="n">
        <f aca="false">$B10</f>
        <v>0</v>
      </c>
      <c r="E10" s="25" t="n">
        <f aca="false">$B10</f>
        <v>0</v>
      </c>
      <c r="F10" s="25" t="n">
        <f aca="false">$B10</f>
        <v>0</v>
      </c>
      <c r="G10" s="25" t="n">
        <f aca="false">$B10</f>
        <v>0</v>
      </c>
      <c r="H10" s="25" t="n">
        <f aca="false">$B10</f>
        <v>0</v>
      </c>
      <c r="I10" s="25" t="n">
        <f aca="false">$B10</f>
        <v>0</v>
      </c>
      <c r="J10" s="25" t="n">
        <f aca="false">$B10</f>
        <v>0</v>
      </c>
      <c r="K10" s="25" t="n">
        <f aca="false">$B10</f>
        <v>0</v>
      </c>
      <c r="L10" s="25" t="n">
        <f aca="false">$B10</f>
        <v>0</v>
      </c>
      <c r="M10" s="25" t="n">
        <f aca="false">$B10</f>
        <v>0</v>
      </c>
      <c r="N10" s="25" t="n">
        <f aca="false">$B10</f>
        <v>0</v>
      </c>
      <c r="O10" s="25" t="n">
        <f aca="false">SUM(C10:N10)</f>
        <v>0</v>
      </c>
    </row>
    <row r="11" customFormat="false" ht="15" hidden="false" customHeight="true" outlineLevel="0" collapsed="false">
      <c r="A11" s="6" t="s">
        <v>318</v>
      </c>
      <c r="B11" s="9" t="n">
        <v>60</v>
      </c>
      <c r="C11" s="25" t="n">
        <f aca="false">$B11</f>
        <v>60</v>
      </c>
      <c r="D11" s="25" t="n">
        <f aca="false">$B11</f>
        <v>60</v>
      </c>
      <c r="E11" s="25" t="n">
        <f aca="false">$B11</f>
        <v>60</v>
      </c>
      <c r="F11" s="25" t="n">
        <f aca="false">$B11</f>
        <v>60</v>
      </c>
      <c r="G11" s="25" t="n">
        <f aca="false">$B11</f>
        <v>60</v>
      </c>
      <c r="H11" s="25" t="n">
        <f aca="false">$B11</f>
        <v>60</v>
      </c>
      <c r="I11" s="25" t="n">
        <f aca="false">$B11</f>
        <v>60</v>
      </c>
      <c r="J11" s="25" t="n">
        <f aca="false">$B11</f>
        <v>60</v>
      </c>
      <c r="K11" s="25" t="n">
        <f aca="false">$B11</f>
        <v>60</v>
      </c>
      <c r="L11" s="25" t="n">
        <f aca="false">$B11</f>
        <v>60</v>
      </c>
      <c r="M11" s="25" t="n">
        <f aca="false">$B11</f>
        <v>60</v>
      </c>
      <c r="N11" s="25" t="n">
        <f aca="false">$B11</f>
        <v>60</v>
      </c>
      <c r="O11" s="25" t="n">
        <f aca="false">SUM(C11:N11)</f>
        <v>720</v>
      </c>
    </row>
    <row r="12" customFormat="false" ht="15" hidden="false" customHeight="true" outlineLevel="0" collapsed="false">
      <c r="A12" s="6" t="s">
        <v>319</v>
      </c>
      <c r="B12" s="9" t="n">
        <v>180</v>
      </c>
      <c r="C12" s="25" t="n">
        <f aca="false">$B12</f>
        <v>180</v>
      </c>
      <c r="D12" s="25" t="n">
        <f aca="false">$B12</f>
        <v>180</v>
      </c>
      <c r="E12" s="25" t="n">
        <f aca="false">$B12</f>
        <v>180</v>
      </c>
      <c r="F12" s="25" t="n">
        <f aca="false">$B12</f>
        <v>180</v>
      </c>
      <c r="G12" s="25" t="n">
        <f aca="false">$B12</f>
        <v>180</v>
      </c>
      <c r="H12" s="25" t="n">
        <f aca="false">$B12</f>
        <v>180</v>
      </c>
      <c r="I12" s="25" t="n">
        <f aca="false">$B12</f>
        <v>180</v>
      </c>
      <c r="J12" s="25" t="n">
        <f aca="false">$B12</f>
        <v>180</v>
      </c>
      <c r="K12" s="25" t="n">
        <f aca="false">$B12</f>
        <v>180</v>
      </c>
      <c r="L12" s="25" t="n">
        <f aca="false">$B12</f>
        <v>180</v>
      </c>
      <c r="M12" s="25" t="n">
        <f aca="false">$B12</f>
        <v>180</v>
      </c>
      <c r="N12" s="25" t="n">
        <f aca="false">$B12</f>
        <v>180</v>
      </c>
      <c r="O12" s="25" t="n">
        <f aca="false">SUM(C12:N12)</f>
        <v>2160</v>
      </c>
    </row>
    <row r="13" customFormat="false" ht="15" hidden="false" customHeight="true" outlineLevel="0" collapsed="false">
      <c r="A13" s="6" t="s">
        <v>320</v>
      </c>
      <c r="B13" s="9" t="n">
        <v>60</v>
      </c>
      <c r="C13" s="25" t="n">
        <f aca="false">$B13</f>
        <v>60</v>
      </c>
      <c r="D13" s="25" t="n">
        <f aca="false">$B13</f>
        <v>60</v>
      </c>
      <c r="E13" s="25" t="n">
        <f aca="false">$B13</f>
        <v>60</v>
      </c>
      <c r="F13" s="25" t="n">
        <f aca="false">$B13</f>
        <v>60</v>
      </c>
      <c r="G13" s="25" t="n">
        <f aca="false">$B13</f>
        <v>60</v>
      </c>
      <c r="H13" s="25" t="n">
        <f aca="false">$B13</f>
        <v>60</v>
      </c>
      <c r="I13" s="25" t="n">
        <f aca="false">$B13</f>
        <v>60</v>
      </c>
      <c r="J13" s="25" t="n">
        <f aca="false">$B13</f>
        <v>60</v>
      </c>
      <c r="K13" s="25" t="n">
        <f aca="false">$B13</f>
        <v>60</v>
      </c>
      <c r="L13" s="25" t="n">
        <f aca="false">$B13</f>
        <v>60</v>
      </c>
      <c r="M13" s="25" t="n">
        <f aca="false">$B13</f>
        <v>60</v>
      </c>
      <c r="N13" s="25" t="n">
        <f aca="false">$B13</f>
        <v>60</v>
      </c>
      <c r="O13" s="25" t="n">
        <f aca="false">SUM(C13:N13)</f>
        <v>720</v>
      </c>
    </row>
    <row r="14" customFormat="false" ht="15" hidden="false" customHeight="true" outlineLevel="0" collapsed="false">
      <c r="A14" s="6" t="s">
        <v>321</v>
      </c>
      <c r="B14" s="9" t="n">
        <v>400</v>
      </c>
      <c r="C14" s="25" t="n">
        <f aca="false">$B14</f>
        <v>400</v>
      </c>
      <c r="D14" s="25" t="n">
        <f aca="false">$B14</f>
        <v>400</v>
      </c>
      <c r="E14" s="25" t="n">
        <f aca="false">$B14</f>
        <v>400</v>
      </c>
      <c r="F14" s="25" t="n">
        <f aca="false">$B14</f>
        <v>400</v>
      </c>
      <c r="G14" s="25" t="n">
        <f aca="false">$B14</f>
        <v>400</v>
      </c>
      <c r="H14" s="25" t="n">
        <f aca="false">$B14</f>
        <v>400</v>
      </c>
      <c r="I14" s="25" t="n">
        <f aca="false">$B14</f>
        <v>400</v>
      </c>
      <c r="J14" s="25" t="n">
        <f aca="false">$B14</f>
        <v>400</v>
      </c>
      <c r="K14" s="25" t="n">
        <f aca="false">$B14</f>
        <v>400</v>
      </c>
      <c r="L14" s="25" t="n">
        <f aca="false">$B14</f>
        <v>400</v>
      </c>
      <c r="M14" s="25" t="n">
        <f aca="false">$B14</f>
        <v>400</v>
      </c>
      <c r="N14" s="25" t="n">
        <f aca="false">$B14</f>
        <v>400</v>
      </c>
      <c r="O14" s="25" t="n">
        <f aca="false">SUM(C14:N14)</f>
        <v>4800</v>
      </c>
    </row>
    <row r="15" customFormat="false" ht="15" hidden="false" customHeight="true" outlineLevel="0" collapsed="false">
      <c r="A15" s="6" t="s">
        <v>322</v>
      </c>
      <c r="B15" s="9" t="n">
        <v>100</v>
      </c>
      <c r="C15" s="25" t="n">
        <f aca="false">$B15</f>
        <v>100</v>
      </c>
      <c r="D15" s="25" t="n">
        <f aca="false">$B15</f>
        <v>100</v>
      </c>
      <c r="E15" s="25" t="n">
        <f aca="false">$B15</f>
        <v>100</v>
      </c>
      <c r="F15" s="25" t="n">
        <f aca="false">$B15</f>
        <v>100</v>
      </c>
      <c r="G15" s="25" t="n">
        <f aca="false">$B15</f>
        <v>100</v>
      </c>
      <c r="H15" s="25" t="n">
        <f aca="false">$B15</f>
        <v>100</v>
      </c>
      <c r="I15" s="25" t="n">
        <f aca="false">$B15</f>
        <v>100</v>
      </c>
      <c r="J15" s="25" t="n">
        <f aca="false">$B15</f>
        <v>100</v>
      </c>
      <c r="K15" s="25" t="n">
        <f aca="false">$B15</f>
        <v>100</v>
      </c>
      <c r="L15" s="25" t="n">
        <f aca="false">$B15</f>
        <v>100</v>
      </c>
      <c r="M15" s="25" t="n">
        <f aca="false">$B15</f>
        <v>100</v>
      </c>
      <c r="N15" s="25" t="n">
        <f aca="false">$B15</f>
        <v>100</v>
      </c>
      <c r="O15" s="25" t="n">
        <f aca="false">SUM(C15:N15)</f>
        <v>1200</v>
      </c>
    </row>
    <row r="16" customFormat="false" ht="15" hidden="false" customHeight="true" outlineLevel="0" collapsed="false">
      <c r="A16" s="6" t="s">
        <v>323</v>
      </c>
      <c r="B16" s="9" t="n">
        <v>120</v>
      </c>
      <c r="C16" s="25" t="n">
        <f aca="false">$B16</f>
        <v>120</v>
      </c>
      <c r="D16" s="25" t="n">
        <f aca="false">$B16</f>
        <v>120</v>
      </c>
      <c r="E16" s="25" t="n">
        <f aca="false">$B16</f>
        <v>120</v>
      </c>
      <c r="F16" s="25" t="n">
        <f aca="false">$B16</f>
        <v>120</v>
      </c>
      <c r="G16" s="25" t="n">
        <f aca="false">$B16</f>
        <v>120</v>
      </c>
      <c r="H16" s="25" t="n">
        <f aca="false">$B16</f>
        <v>120</v>
      </c>
      <c r="I16" s="25" t="n">
        <f aca="false">$B16</f>
        <v>120</v>
      </c>
      <c r="J16" s="25" t="n">
        <f aca="false">$B16</f>
        <v>120</v>
      </c>
      <c r="K16" s="25" t="n">
        <f aca="false">$B16</f>
        <v>120</v>
      </c>
      <c r="L16" s="25" t="n">
        <f aca="false">$B16</f>
        <v>120</v>
      </c>
      <c r="M16" s="25" t="n">
        <f aca="false">$B16</f>
        <v>120</v>
      </c>
      <c r="N16" s="25" t="n">
        <f aca="false">$B16</f>
        <v>120</v>
      </c>
      <c r="O16" s="25" t="n">
        <f aca="false">SUM(C16:N16)</f>
        <v>1440</v>
      </c>
    </row>
    <row r="17" customFormat="false" ht="15" hidden="false" customHeight="true" outlineLevel="0" collapsed="false">
      <c r="A17" s="40" t="s">
        <v>324</v>
      </c>
      <c r="B17" s="40"/>
      <c r="C17" s="41" t="n">
        <f aca="false">SUM(C9:C16)</f>
        <v>920</v>
      </c>
      <c r="D17" s="41" t="n">
        <f aca="false">SUM(D9:D16)</f>
        <v>920</v>
      </c>
      <c r="E17" s="41" t="n">
        <f aca="false">SUM(E9:E16)</f>
        <v>920</v>
      </c>
      <c r="F17" s="41" t="n">
        <f aca="false">SUM(F9:F16)</f>
        <v>920</v>
      </c>
      <c r="G17" s="41" t="n">
        <f aca="false">SUM(G9:G16)</f>
        <v>920</v>
      </c>
      <c r="H17" s="41" t="n">
        <f aca="false">SUM(H9:H16)</f>
        <v>920</v>
      </c>
      <c r="I17" s="41" t="n">
        <f aca="false">SUM(I9:I16)</f>
        <v>920</v>
      </c>
      <c r="J17" s="41" t="n">
        <f aca="false">SUM(J9:J16)</f>
        <v>920</v>
      </c>
      <c r="K17" s="41" t="n">
        <f aca="false">SUM(K9:K16)</f>
        <v>920</v>
      </c>
      <c r="L17" s="41" t="n">
        <f aca="false">SUM(L9:L16)</f>
        <v>920</v>
      </c>
      <c r="M17" s="41" t="n">
        <f aca="false">SUM(M9:M16)</f>
        <v>920</v>
      </c>
      <c r="N17" s="41" t="n">
        <f aca="false">SUM(N9:N16)</f>
        <v>920</v>
      </c>
      <c r="O17" s="41" t="n">
        <f aca="false">SUM(C17:N17)</f>
        <v>11040</v>
      </c>
    </row>
    <row r="19" customFormat="false" ht="15" hidden="false" customHeight="true" outlineLevel="0" collapsed="false">
      <c r="A19" s="16" t="s">
        <v>325</v>
      </c>
    </row>
    <row r="20" customFormat="false" ht="15" hidden="false" customHeight="true" outlineLevel="0" collapsed="false">
      <c r="A20" s="6" t="s">
        <v>326</v>
      </c>
      <c r="B20" s="13" t="n">
        <v>0.07</v>
      </c>
      <c r="C20" s="3" t="s">
        <v>327</v>
      </c>
    </row>
    <row r="22" customFormat="false" ht="15" hidden="false" customHeight="true" outlineLevel="0" collapsed="false">
      <c r="A22" s="16" t="s">
        <v>328</v>
      </c>
    </row>
    <row r="23" customFormat="false" ht="15" hidden="false" customHeight="true" outlineLevel="0" collapsed="false">
      <c r="A23" s="6" t="s">
        <v>329</v>
      </c>
      <c r="C23" s="11" t="str">
        <f aca="false">IF(AND(UlgaStart="TAK",C$4&lt;=MiesUlgi),"Ulga na start",IF(AND(Preferencyjny="TAK",C$4&lt;=IF(UlgaStart="TAK",MiesUlgi,0)+MiesPref),"Preferencyjny",IF(MalyZUS="TAK","Mały ZUS plus","Pełny")))</f>
        <v>Ulga na start</v>
      </c>
      <c r="D23" s="11" t="str">
        <f aca="false">IF(AND(UlgaStart="TAK",D$4&lt;=MiesUlgi),"Ulga na start",IF(AND(Preferencyjny="TAK",D$4&lt;=IF(UlgaStart="TAK",MiesUlgi,0)+MiesPref),"Preferencyjny",IF(MalyZUS="TAK","Mały ZUS plus","Pełny")))</f>
        <v>Ulga na start</v>
      </c>
      <c r="E23" s="11" t="str">
        <f aca="false">IF(AND(UlgaStart="TAK",E$4&lt;=MiesUlgi),"Ulga na start",IF(AND(Preferencyjny="TAK",E$4&lt;=IF(UlgaStart="TAK",MiesUlgi,0)+MiesPref),"Preferencyjny",IF(MalyZUS="TAK","Mały ZUS plus","Pełny")))</f>
        <v>Ulga na start</v>
      </c>
      <c r="F23" s="11" t="str">
        <f aca="false">IF(AND(UlgaStart="TAK",F$4&lt;=MiesUlgi),"Ulga na start",IF(AND(Preferencyjny="TAK",F$4&lt;=IF(UlgaStart="TAK",MiesUlgi,0)+MiesPref),"Preferencyjny",IF(MalyZUS="TAK","Mały ZUS plus","Pełny")))</f>
        <v>Ulga na start</v>
      </c>
      <c r="G23" s="11" t="str">
        <f aca="false">IF(AND(UlgaStart="TAK",G$4&lt;=MiesUlgi),"Ulga na start",IF(AND(Preferencyjny="TAK",G$4&lt;=IF(UlgaStart="TAK",MiesUlgi,0)+MiesPref),"Preferencyjny",IF(MalyZUS="TAK","Mały ZUS plus","Pełny")))</f>
        <v>Ulga na start</v>
      </c>
      <c r="H23" s="11" t="str">
        <f aca="false">IF(AND(UlgaStart="TAK",H$4&lt;=MiesUlgi),"Ulga na start",IF(AND(Preferencyjny="TAK",H$4&lt;=IF(UlgaStart="TAK",MiesUlgi,0)+MiesPref),"Preferencyjny",IF(MalyZUS="TAK","Mały ZUS plus","Pełny")))</f>
        <v>Ulga na start</v>
      </c>
      <c r="I23" s="11" t="str">
        <f aca="false">IF(AND(UlgaStart="TAK",I$4&lt;=MiesUlgi),"Ulga na start",IF(AND(Preferencyjny="TAK",I$4&lt;=IF(UlgaStart="TAK",MiesUlgi,0)+MiesPref),"Preferencyjny",IF(MalyZUS="TAK","Mały ZUS plus","Pełny")))</f>
        <v>Preferencyjny</v>
      </c>
      <c r="J23" s="11" t="str">
        <f aca="false">IF(AND(UlgaStart="TAK",J$4&lt;=MiesUlgi),"Ulga na start",IF(AND(Preferencyjny="TAK",J$4&lt;=IF(UlgaStart="TAK",MiesUlgi,0)+MiesPref),"Preferencyjny",IF(MalyZUS="TAK","Mały ZUS plus","Pełny")))</f>
        <v>Preferencyjny</v>
      </c>
      <c r="K23" s="11" t="str">
        <f aca="false">IF(AND(UlgaStart="TAK",K$4&lt;=MiesUlgi),"Ulga na start",IF(AND(Preferencyjny="TAK",K$4&lt;=IF(UlgaStart="TAK",MiesUlgi,0)+MiesPref),"Preferencyjny",IF(MalyZUS="TAK","Mały ZUS plus","Pełny")))</f>
        <v>Preferencyjny</v>
      </c>
      <c r="L23" s="11" t="str">
        <f aca="false">IF(AND(UlgaStart="TAK",L$4&lt;=MiesUlgi),"Ulga na start",IF(AND(Preferencyjny="TAK",L$4&lt;=IF(UlgaStart="TAK",MiesUlgi,0)+MiesPref),"Preferencyjny",IF(MalyZUS="TAK","Mały ZUS plus","Pełny")))</f>
        <v>Preferencyjny</v>
      </c>
      <c r="M23" s="11" t="str">
        <f aca="false">IF(AND(UlgaStart="TAK",M$4&lt;=MiesUlgi),"Ulga na start",IF(AND(Preferencyjny="TAK",M$4&lt;=IF(UlgaStart="TAK",MiesUlgi,0)+MiesPref),"Preferencyjny",IF(MalyZUS="TAK","Mały ZUS plus","Pełny")))</f>
        <v>Preferencyjny</v>
      </c>
      <c r="N23" s="11" t="str">
        <f aca="false">IF(AND(UlgaStart="TAK",N$4&lt;=MiesUlgi),"Ulga na start",IF(AND(Preferencyjny="TAK",N$4&lt;=IF(UlgaStart="TAK",MiesUlgi,0)+MiesPref),"Preferencyjny",IF(MalyZUS="TAK","Mały ZUS plus","Pełny")))</f>
        <v>Preferencyjny</v>
      </c>
    </row>
    <row r="24" customFormat="false" ht="15" hidden="false" customHeight="true" outlineLevel="0" collapsed="false">
      <c r="A24" s="6" t="s">
        <v>330</v>
      </c>
      <c r="C24" s="42" t="n">
        <f aca="false">IF(C23="Ulga na start",0,IF(C23="Preferencyjny",PodstPref,IF(C23="Mały ZUS plus",MIN(MAX(PodstawaMZP,PodstPref),PodstPelna),PodstPelna)))</f>
        <v>0</v>
      </c>
      <c r="D24" s="42" t="n">
        <f aca="false">IF(D23="Ulga na start",0,IF(D23="Preferencyjny",PodstPref,IF(D23="Mały ZUS plus",MIN(MAX(PodstawaMZP,PodstPref),PodstPelna),PodstPelna)))</f>
        <v>0</v>
      </c>
      <c r="E24" s="42" t="n">
        <f aca="false">IF(E23="Ulga na start",0,IF(E23="Preferencyjny",PodstPref,IF(E23="Mały ZUS plus",MIN(MAX(PodstawaMZP,PodstPref),PodstPelna),PodstPelna)))</f>
        <v>0</v>
      </c>
      <c r="F24" s="42" t="n">
        <f aca="false">IF(F23="Ulga na start",0,IF(F23="Preferencyjny",PodstPref,IF(F23="Mały ZUS plus",MIN(MAX(PodstawaMZP,PodstPref),PodstPelna),PodstPelna)))</f>
        <v>0</v>
      </c>
      <c r="G24" s="42" t="n">
        <f aca="false">IF(G23="Ulga na start",0,IF(G23="Preferencyjny",PodstPref,IF(G23="Mały ZUS plus",MIN(MAX(PodstawaMZP,PodstPref),PodstPelna),PodstPelna)))</f>
        <v>0</v>
      </c>
      <c r="H24" s="42" t="n">
        <f aca="false">IF(H23="Ulga na start",0,IF(H23="Preferencyjny",PodstPref,IF(H23="Mały ZUS plus",MIN(MAX(PodstawaMZP,PodstPref),PodstPelna),PodstPelna)))</f>
        <v>0</v>
      </c>
      <c r="I24" s="42" t="n">
        <f aca="false">IF(I23="Ulga na start",0,IF(I23="Preferencyjny",PodstPref,IF(I23="Mały ZUS plus",MIN(MAX(PodstawaMZP,PodstPref),PodstPelna),PodstPelna)))</f>
        <v>1441.8</v>
      </c>
      <c r="J24" s="42" t="n">
        <f aca="false">IF(J23="Ulga na start",0,IF(J23="Preferencyjny",PodstPref,IF(J23="Mały ZUS plus",MIN(MAX(PodstawaMZP,PodstPref),PodstPelna),PodstPelna)))</f>
        <v>1441.8</v>
      </c>
      <c r="K24" s="42" t="n">
        <f aca="false">IF(K23="Ulga na start",0,IF(K23="Preferencyjny",PodstPref,IF(K23="Mały ZUS plus",MIN(MAX(PodstawaMZP,PodstPref),PodstPelna),PodstPelna)))</f>
        <v>1441.8</v>
      </c>
      <c r="L24" s="42" t="n">
        <f aca="false">IF(L23="Ulga na start",0,IF(L23="Preferencyjny",PodstPref,IF(L23="Mały ZUS plus",MIN(MAX(PodstawaMZP,PodstPref),PodstPelna),PodstPelna)))</f>
        <v>1441.8</v>
      </c>
      <c r="M24" s="42" t="n">
        <f aca="false">IF(M23="Ulga na start",0,IF(M23="Preferencyjny",PodstPref,IF(M23="Mały ZUS plus",MIN(MAX(PodstawaMZP,PodstPref),PodstPelna),PodstPelna)))</f>
        <v>1441.8</v>
      </c>
      <c r="N24" s="42" t="n">
        <f aca="false">IF(N23="Ulga na start",0,IF(N23="Preferencyjny",PodstPref,IF(N23="Mały ZUS plus",MIN(MAX(PodstawaMZP,PodstPref),PodstPelna),PodstPelna)))</f>
        <v>1441.8</v>
      </c>
    </row>
    <row r="25" customFormat="false" ht="15" hidden="false" customHeight="true" outlineLevel="0" collapsed="false">
      <c r="A25" s="6" t="s">
        <v>331</v>
      </c>
      <c r="C25" s="42" t="n">
        <f aca="false">ROUND(C24*StEmer,2)</f>
        <v>0</v>
      </c>
      <c r="D25" s="42" t="n">
        <f aca="false">ROUND(D24*StEmer,2)</f>
        <v>0</v>
      </c>
      <c r="E25" s="42" t="n">
        <f aca="false">ROUND(E24*StEmer,2)</f>
        <v>0</v>
      </c>
      <c r="F25" s="42" t="n">
        <f aca="false">ROUND(F24*StEmer,2)</f>
        <v>0</v>
      </c>
      <c r="G25" s="42" t="n">
        <f aca="false">ROUND(G24*StEmer,2)</f>
        <v>0</v>
      </c>
      <c r="H25" s="42" t="n">
        <f aca="false">ROUND(H24*StEmer,2)</f>
        <v>0</v>
      </c>
      <c r="I25" s="42" t="n">
        <f aca="false">ROUND(I24*StEmer,2)</f>
        <v>281.44</v>
      </c>
      <c r="J25" s="42" t="n">
        <f aca="false">ROUND(J24*StEmer,2)</f>
        <v>281.44</v>
      </c>
      <c r="K25" s="42" t="n">
        <f aca="false">ROUND(K24*StEmer,2)</f>
        <v>281.44</v>
      </c>
      <c r="L25" s="42" t="n">
        <f aca="false">ROUND(L24*StEmer,2)</f>
        <v>281.44</v>
      </c>
      <c r="M25" s="42" t="n">
        <f aca="false">ROUND(M24*StEmer,2)</f>
        <v>281.44</v>
      </c>
      <c r="N25" s="42" t="n">
        <f aca="false">ROUND(N24*StEmer,2)</f>
        <v>281.44</v>
      </c>
      <c r="O25" s="25" t="n">
        <f aca="false">SUM(C25:N25)</f>
        <v>1688.64</v>
      </c>
    </row>
    <row r="26" customFormat="false" ht="15" hidden="false" customHeight="true" outlineLevel="0" collapsed="false">
      <c r="A26" s="6" t="s">
        <v>332</v>
      </c>
      <c r="C26" s="42" t="n">
        <f aca="false">ROUND(C24*StRent,2)</f>
        <v>0</v>
      </c>
      <c r="D26" s="42" t="n">
        <f aca="false">ROUND(D24*StRent,2)</f>
        <v>0</v>
      </c>
      <c r="E26" s="42" t="n">
        <f aca="false">ROUND(E24*StRent,2)</f>
        <v>0</v>
      </c>
      <c r="F26" s="42" t="n">
        <f aca="false">ROUND(F24*StRent,2)</f>
        <v>0</v>
      </c>
      <c r="G26" s="42" t="n">
        <f aca="false">ROUND(G24*StRent,2)</f>
        <v>0</v>
      </c>
      <c r="H26" s="42" t="n">
        <f aca="false">ROUND(H24*StRent,2)</f>
        <v>0</v>
      </c>
      <c r="I26" s="42" t="n">
        <f aca="false">ROUND(I24*StRent,2)</f>
        <v>115.34</v>
      </c>
      <c r="J26" s="42" t="n">
        <f aca="false">ROUND(J24*StRent,2)</f>
        <v>115.34</v>
      </c>
      <c r="K26" s="42" t="n">
        <f aca="false">ROUND(K24*StRent,2)</f>
        <v>115.34</v>
      </c>
      <c r="L26" s="42" t="n">
        <f aca="false">ROUND(L24*StRent,2)</f>
        <v>115.34</v>
      </c>
      <c r="M26" s="42" t="n">
        <f aca="false">ROUND(M24*StRent,2)</f>
        <v>115.34</v>
      </c>
      <c r="N26" s="42" t="n">
        <f aca="false">ROUND(N24*StRent,2)</f>
        <v>115.34</v>
      </c>
      <c r="O26" s="25" t="n">
        <f aca="false">SUM(C26:N26)</f>
        <v>692.04</v>
      </c>
    </row>
    <row r="27" customFormat="false" ht="15" hidden="false" customHeight="true" outlineLevel="0" collapsed="false">
      <c r="A27" s="6" t="s">
        <v>333</v>
      </c>
      <c r="C27" s="42" t="n">
        <f aca="false">IF(Chorobowe="TAK",ROUND(C24*StChor,2),0)</f>
        <v>0</v>
      </c>
      <c r="D27" s="42" t="n">
        <f aca="false">IF(Chorobowe="TAK",ROUND(D24*StChor,2),0)</f>
        <v>0</v>
      </c>
      <c r="E27" s="42" t="n">
        <f aca="false">IF(Chorobowe="TAK",ROUND(E24*StChor,2),0)</f>
        <v>0</v>
      </c>
      <c r="F27" s="42" t="n">
        <f aca="false">IF(Chorobowe="TAK",ROUND(F24*StChor,2),0)</f>
        <v>0</v>
      </c>
      <c r="G27" s="42" t="n">
        <f aca="false">IF(Chorobowe="TAK",ROUND(G24*StChor,2),0)</f>
        <v>0</v>
      </c>
      <c r="H27" s="42" t="n">
        <f aca="false">IF(Chorobowe="TAK",ROUND(H24*StChor,2),0)</f>
        <v>0</v>
      </c>
      <c r="I27" s="42" t="n">
        <f aca="false">IF(Chorobowe="TAK",ROUND(I24*StChor,2),0)</f>
        <v>35.32</v>
      </c>
      <c r="J27" s="42" t="n">
        <f aca="false">IF(Chorobowe="TAK",ROUND(J24*StChor,2),0)</f>
        <v>35.32</v>
      </c>
      <c r="K27" s="42" t="n">
        <f aca="false">IF(Chorobowe="TAK",ROUND(K24*StChor,2),0)</f>
        <v>35.32</v>
      </c>
      <c r="L27" s="42" t="n">
        <f aca="false">IF(Chorobowe="TAK",ROUND(L24*StChor,2),0)</f>
        <v>35.32</v>
      </c>
      <c r="M27" s="42" t="n">
        <f aca="false">IF(Chorobowe="TAK",ROUND(M24*StChor,2),0)</f>
        <v>35.32</v>
      </c>
      <c r="N27" s="42" t="n">
        <f aca="false">IF(Chorobowe="TAK",ROUND(N24*StChor,2),0)</f>
        <v>35.32</v>
      </c>
      <c r="O27" s="25" t="n">
        <f aca="false">SUM(C27:N27)</f>
        <v>211.92</v>
      </c>
    </row>
    <row r="28" customFormat="false" ht="15" hidden="false" customHeight="true" outlineLevel="0" collapsed="false">
      <c r="A28" s="6" t="s">
        <v>334</v>
      </c>
      <c r="C28" s="42" t="n">
        <f aca="false">ROUND(C24*StWyp,2)</f>
        <v>0</v>
      </c>
      <c r="D28" s="42" t="n">
        <f aca="false">ROUND(D24*StWyp,2)</f>
        <v>0</v>
      </c>
      <c r="E28" s="42" t="n">
        <f aca="false">ROUND(E24*StWyp,2)</f>
        <v>0</v>
      </c>
      <c r="F28" s="42" t="n">
        <f aca="false">ROUND(F24*StWyp,2)</f>
        <v>0</v>
      </c>
      <c r="G28" s="42" t="n">
        <f aca="false">ROUND(G24*StWyp,2)</f>
        <v>0</v>
      </c>
      <c r="H28" s="42" t="n">
        <f aca="false">ROUND(H24*StWyp,2)</f>
        <v>0</v>
      </c>
      <c r="I28" s="42" t="n">
        <f aca="false">ROUND(I24*StWyp,2)</f>
        <v>24.08</v>
      </c>
      <c r="J28" s="42" t="n">
        <f aca="false">ROUND(J24*StWyp,2)</f>
        <v>24.08</v>
      </c>
      <c r="K28" s="42" t="n">
        <f aca="false">ROUND(K24*StWyp,2)</f>
        <v>24.08</v>
      </c>
      <c r="L28" s="42" t="n">
        <f aca="false">ROUND(L24*StWyp,2)</f>
        <v>24.08</v>
      </c>
      <c r="M28" s="42" t="n">
        <f aca="false">ROUND(M24*StWyp,2)</f>
        <v>24.08</v>
      </c>
      <c r="N28" s="42" t="n">
        <f aca="false">ROUND(N24*StWyp,2)</f>
        <v>24.08</v>
      </c>
      <c r="O28" s="25" t="n">
        <f aca="false">SUM(C28:N28)</f>
        <v>144.48</v>
      </c>
    </row>
    <row r="29" customFormat="false" ht="15" hidden="false" customHeight="true" outlineLevel="0" collapsed="false">
      <c r="A29" s="6" t="s">
        <v>335</v>
      </c>
      <c r="C29" s="42" t="n">
        <f aca="false">IF(C24&gt;=PlacaMin,ROUND(C24*StFP,2),0)</f>
        <v>0</v>
      </c>
      <c r="D29" s="42" t="n">
        <f aca="false">IF(D24&gt;=PlacaMin,ROUND(D24*StFP,2),0)</f>
        <v>0</v>
      </c>
      <c r="E29" s="42" t="n">
        <f aca="false">IF(E24&gt;=PlacaMin,ROUND(E24*StFP,2),0)</f>
        <v>0</v>
      </c>
      <c r="F29" s="42" t="n">
        <f aca="false">IF(F24&gt;=PlacaMin,ROUND(F24*StFP,2),0)</f>
        <v>0</v>
      </c>
      <c r="G29" s="42" t="n">
        <f aca="false">IF(G24&gt;=PlacaMin,ROUND(G24*StFP,2),0)</f>
        <v>0</v>
      </c>
      <c r="H29" s="42" t="n">
        <f aca="false">IF(H24&gt;=PlacaMin,ROUND(H24*StFP,2),0)</f>
        <v>0</v>
      </c>
      <c r="I29" s="42" t="n">
        <f aca="false">IF(I24&gt;=PlacaMin,ROUND(I24*StFP,2),0)</f>
        <v>0</v>
      </c>
      <c r="J29" s="42" t="n">
        <f aca="false">IF(J24&gt;=PlacaMin,ROUND(J24*StFP,2),0)</f>
        <v>0</v>
      </c>
      <c r="K29" s="42" t="n">
        <f aca="false">IF(K24&gt;=PlacaMin,ROUND(K24*StFP,2),0)</f>
        <v>0</v>
      </c>
      <c r="L29" s="42" t="n">
        <f aca="false">IF(L24&gt;=PlacaMin,ROUND(L24*StFP,2),0)</f>
        <v>0</v>
      </c>
      <c r="M29" s="42" t="n">
        <f aca="false">IF(M24&gt;=PlacaMin,ROUND(M24*StFP,2),0)</f>
        <v>0</v>
      </c>
      <c r="N29" s="42" t="n">
        <f aca="false">IF(N24&gt;=PlacaMin,ROUND(N24*StFP,2),0)</f>
        <v>0</v>
      </c>
      <c r="O29" s="25" t="n">
        <f aca="false">SUM(C29:N29)</f>
        <v>0</v>
      </c>
    </row>
    <row r="30" customFormat="false" ht="15" hidden="false" customHeight="true" outlineLevel="0" collapsed="false">
      <c r="A30" s="40" t="s">
        <v>336</v>
      </c>
      <c r="B30" s="40"/>
      <c r="C30" s="41" t="n">
        <f aca="false">SUM(C25:C29)</f>
        <v>0</v>
      </c>
      <c r="D30" s="41" t="n">
        <f aca="false">SUM(D25:D29)</f>
        <v>0</v>
      </c>
      <c r="E30" s="41" t="n">
        <f aca="false">SUM(E25:E29)</f>
        <v>0</v>
      </c>
      <c r="F30" s="41" t="n">
        <f aca="false">SUM(F25:F29)</f>
        <v>0</v>
      </c>
      <c r="G30" s="41" t="n">
        <f aca="false">SUM(G25:G29)</f>
        <v>0</v>
      </c>
      <c r="H30" s="41" t="n">
        <f aca="false">SUM(H25:H29)</f>
        <v>0</v>
      </c>
      <c r="I30" s="41" t="n">
        <f aca="false">SUM(I25:I29)</f>
        <v>456.18</v>
      </c>
      <c r="J30" s="41" t="n">
        <f aca="false">SUM(J25:J29)</f>
        <v>456.18</v>
      </c>
      <c r="K30" s="41" t="n">
        <f aca="false">SUM(K25:K29)</f>
        <v>456.18</v>
      </c>
      <c r="L30" s="41" t="n">
        <f aca="false">SUM(L25:L29)</f>
        <v>456.18</v>
      </c>
      <c r="M30" s="41" t="n">
        <f aca="false">SUM(M25:M29)</f>
        <v>456.18</v>
      </c>
      <c r="N30" s="41" t="n">
        <f aca="false">SUM(N25:N29)</f>
        <v>456.18</v>
      </c>
      <c r="O30" s="41" t="n">
        <f aca="false">SUM(C30:N30)</f>
        <v>2737.08</v>
      </c>
    </row>
    <row r="32" customFormat="false" ht="15" hidden="false" customHeight="true" outlineLevel="0" collapsed="false">
      <c r="A32" s="16" t="s">
        <v>337</v>
      </c>
    </row>
    <row r="33" customFormat="false" ht="15" hidden="false" customHeight="true" outlineLevel="0" collapsed="false">
      <c r="A33" s="6" t="s">
        <v>304</v>
      </c>
      <c r="C33" s="42" t="n">
        <f aca="false">Przychody!C33*(1-0)</f>
        <v>4365</v>
      </c>
      <c r="D33" s="42" t="n">
        <f aca="false">Przychody!D33*(1-0)</f>
        <v>6575</v>
      </c>
      <c r="E33" s="42" t="n">
        <f aca="false">Przychody!E33*(1-0)</f>
        <v>6855</v>
      </c>
      <c r="F33" s="42" t="n">
        <f aca="false">Przychody!F33*(1-0)</f>
        <v>7470</v>
      </c>
      <c r="G33" s="42" t="n">
        <f aca="false">Przychody!G33*(1-0)</f>
        <v>6620</v>
      </c>
      <c r="H33" s="42" t="n">
        <f aca="false">Przychody!H33*(1-0)</f>
        <v>6620</v>
      </c>
      <c r="I33" s="42" t="n">
        <f aca="false">Przychody!I33*(1-0)</f>
        <v>7470</v>
      </c>
      <c r="J33" s="42" t="n">
        <f aca="false">Przychody!J33*(1-0)</f>
        <v>7750</v>
      </c>
      <c r="K33" s="42" t="n">
        <f aca="false">Przychody!K33*(1-0)</f>
        <v>7750</v>
      </c>
      <c r="L33" s="42" t="n">
        <f aca="false">Przychody!L33*(1-0)</f>
        <v>8365</v>
      </c>
      <c r="M33" s="42" t="n">
        <f aca="false">Przychody!M33*(1-0)</f>
        <v>6620</v>
      </c>
      <c r="N33" s="42" t="n">
        <f aca="false">Przychody!N33*(1-0)</f>
        <v>6620</v>
      </c>
      <c r="O33" s="25" t="n">
        <f aca="false">SUM(C33:N33)</f>
        <v>83080</v>
      </c>
    </row>
    <row r="34" customFormat="false" ht="15" hidden="false" customHeight="true" outlineLevel="0" collapsed="false">
      <c r="A34" s="6" t="s">
        <v>338</v>
      </c>
      <c r="C34" s="25" t="n">
        <f aca="false">C$17</f>
        <v>920</v>
      </c>
      <c r="D34" s="25" t="n">
        <f aca="false">D$17</f>
        <v>920</v>
      </c>
      <c r="E34" s="25" t="n">
        <f aca="false">E$17</f>
        <v>920</v>
      </c>
      <c r="F34" s="25" t="n">
        <f aca="false">F$17</f>
        <v>920</v>
      </c>
      <c r="G34" s="25" t="n">
        <f aca="false">G$17</f>
        <v>920</v>
      </c>
      <c r="H34" s="25" t="n">
        <f aca="false">H$17</f>
        <v>920</v>
      </c>
      <c r="I34" s="25" t="n">
        <f aca="false">I$17</f>
        <v>920</v>
      </c>
      <c r="J34" s="25" t="n">
        <f aca="false">J$17</f>
        <v>920</v>
      </c>
      <c r="K34" s="25" t="n">
        <f aca="false">K$17</f>
        <v>920</v>
      </c>
      <c r="L34" s="25" t="n">
        <f aca="false">L$17</f>
        <v>920</v>
      </c>
      <c r="M34" s="25" t="n">
        <f aca="false">M$17</f>
        <v>920</v>
      </c>
      <c r="N34" s="25" t="n">
        <f aca="false">N$17</f>
        <v>920</v>
      </c>
      <c r="O34" s="25" t="n">
        <f aca="false">SUM(C34:N34)</f>
        <v>11040</v>
      </c>
    </row>
    <row r="35" customFormat="false" ht="15" hidden="false" customHeight="true" outlineLevel="0" collapsed="false">
      <c r="A35" s="6" t="s">
        <v>339</v>
      </c>
      <c r="C35" s="25" t="n">
        <f aca="false">ROUND(C33*MaterialyPct,2)</f>
        <v>305.55</v>
      </c>
      <c r="D35" s="25" t="n">
        <f aca="false">ROUND(D33*MaterialyPct,2)</f>
        <v>460.25</v>
      </c>
      <c r="E35" s="25" t="n">
        <f aca="false">ROUND(E33*MaterialyPct,2)</f>
        <v>479.85</v>
      </c>
      <c r="F35" s="25" t="n">
        <f aca="false">ROUND(F33*MaterialyPct,2)</f>
        <v>522.9</v>
      </c>
      <c r="G35" s="25" t="n">
        <f aca="false">ROUND(G33*MaterialyPct,2)</f>
        <v>463.4</v>
      </c>
      <c r="H35" s="25" t="n">
        <f aca="false">ROUND(H33*MaterialyPct,2)</f>
        <v>463.4</v>
      </c>
      <c r="I35" s="25" t="n">
        <f aca="false">ROUND(I33*MaterialyPct,2)</f>
        <v>522.9</v>
      </c>
      <c r="J35" s="25" t="n">
        <f aca="false">ROUND(J33*MaterialyPct,2)</f>
        <v>542.5</v>
      </c>
      <c r="K35" s="25" t="n">
        <f aca="false">ROUND(K33*MaterialyPct,2)</f>
        <v>542.5</v>
      </c>
      <c r="L35" s="25" t="n">
        <f aca="false">ROUND(L33*MaterialyPct,2)</f>
        <v>585.55</v>
      </c>
      <c r="M35" s="25" t="n">
        <f aca="false">ROUND(M33*MaterialyPct,2)</f>
        <v>463.4</v>
      </c>
      <c r="N35" s="25" t="n">
        <f aca="false">ROUND(N33*MaterialyPct,2)</f>
        <v>463.4</v>
      </c>
      <c r="O35" s="25" t="n">
        <f aca="false">SUM(C35:N35)</f>
        <v>5815.6</v>
      </c>
    </row>
    <row r="36" customFormat="false" ht="15" hidden="false" customHeight="true" outlineLevel="0" collapsed="false">
      <c r="A36" s="40" t="s">
        <v>340</v>
      </c>
      <c r="B36" s="40"/>
      <c r="C36" s="41" t="n">
        <f aca="false">C34+C35</f>
        <v>1225.55</v>
      </c>
      <c r="D36" s="41" t="n">
        <f aca="false">D34+D35</f>
        <v>1380.25</v>
      </c>
      <c r="E36" s="41" t="n">
        <f aca="false">E34+E35</f>
        <v>1399.85</v>
      </c>
      <c r="F36" s="41" t="n">
        <f aca="false">F34+F35</f>
        <v>1442.9</v>
      </c>
      <c r="G36" s="41" t="n">
        <f aca="false">G34+G35</f>
        <v>1383.4</v>
      </c>
      <c r="H36" s="41" t="n">
        <f aca="false">H34+H35</f>
        <v>1383.4</v>
      </c>
      <c r="I36" s="41" t="n">
        <f aca="false">I34+I35</f>
        <v>1442.9</v>
      </c>
      <c r="J36" s="41" t="n">
        <f aca="false">J34+J35</f>
        <v>1462.5</v>
      </c>
      <c r="K36" s="41" t="n">
        <f aca="false">K34+K35</f>
        <v>1462.5</v>
      </c>
      <c r="L36" s="41" t="n">
        <f aca="false">L34+L35</f>
        <v>1505.55</v>
      </c>
      <c r="M36" s="41" t="n">
        <f aca="false">M34+M35</f>
        <v>1383.4</v>
      </c>
      <c r="N36" s="41" t="n">
        <f aca="false">N34+N35</f>
        <v>1383.4</v>
      </c>
      <c r="O36" s="41" t="n">
        <f aca="false">SUM(C36:N36)</f>
        <v>16855.6</v>
      </c>
    </row>
    <row r="37" customFormat="false" ht="15" hidden="false" customHeight="true" outlineLevel="0" collapsed="false">
      <c r="A37" s="6" t="s">
        <v>341</v>
      </c>
      <c r="C37" s="25" t="n">
        <f aca="false">C$30</f>
        <v>0</v>
      </c>
      <c r="D37" s="25" t="n">
        <f aca="false">D$30</f>
        <v>0</v>
      </c>
      <c r="E37" s="25" t="n">
        <f aca="false">E$30</f>
        <v>0</v>
      </c>
      <c r="F37" s="25" t="n">
        <f aca="false">F$30</f>
        <v>0</v>
      </c>
      <c r="G37" s="25" t="n">
        <f aca="false">G$30</f>
        <v>0</v>
      </c>
      <c r="H37" s="25" t="n">
        <f aca="false">H$30</f>
        <v>0</v>
      </c>
      <c r="I37" s="25" t="n">
        <f aca="false">I$30</f>
        <v>456.18</v>
      </c>
      <c r="J37" s="25" t="n">
        <f aca="false">J$30</f>
        <v>456.18</v>
      </c>
      <c r="K37" s="25" t="n">
        <f aca="false">K$30</f>
        <v>456.18</v>
      </c>
      <c r="L37" s="25" t="n">
        <f aca="false">L$30</f>
        <v>456.18</v>
      </c>
      <c r="M37" s="25" t="n">
        <f aca="false">M$30</f>
        <v>456.18</v>
      </c>
      <c r="N37" s="25" t="n">
        <f aca="false">N$30</f>
        <v>456.18</v>
      </c>
      <c r="O37" s="25" t="n">
        <f aca="false">SUM(C37:N37)</f>
        <v>2737.08</v>
      </c>
    </row>
    <row r="38" customFormat="false" ht="15" hidden="false" customHeight="true" outlineLevel="0" collapsed="false">
      <c r="A38" s="6" t="s">
        <v>342</v>
      </c>
      <c r="C38" s="25" t="n">
        <f aca="false">C33-C36-C37</f>
        <v>3139.45</v>
      </c>
      <c r="D38" s="25" t="n">
        <f aca="false">D33-D36-D37</f>
        <v>5194.75</v>
      </c>
      <c r="E38" s="25" t="n">
        <f aca="false">E33-E36-E37</f>
        <v>5455.15</v>
      </c>
      <c r="F38" s="25" t="n">
        <f aca="false">F33-F36-F37</f>
        <v>6027.1</v>
      </c>
      <c r="G38" s="25" t="n">
        <f aca="false">G33-G36-G37</f>
        <v>5236.6</v>
      </c>
      <c r="H38" s="25" t="n">
        <f aca="false">H33-H36-H37</f>
        <v>5236.6</v>
      </c>
      <c r="I38" s="25" t="n">
        <f aca="false">I33-I36-I37</f>
        <v>5570.92</v>
      </c>
      <c r="J38" s="25" t="n">
        <f aca="false">J33-J36-J37</f>
        <v>5831.32</v>
      </c>
      <c r="K38" s="25" t="n">
        <f aca="false">K33-K36-K37</f>
        <v>5831.32</v>
      </c>
      <c r="L38" s="25" t="n">
        <f aca="false">L33-L36-L37</f>
        <v>6403.27</v>
      </c>
      <c r="M38" s="25" t="n">
        <f aca="false">M33-M36-M37</f>
        <v>4780.42</v>
      </c>
      <c r="N38" s="25" t="n">
        <f aca="false">N33-N36-N37</f>
        <v>4780.42</v>
      </c>
      <c r="O38" s="25" t="n">
        <f aca="false">SUM(C38:N38)</f>
        <v>63487.32</v>
      </c>
    </row>
    <row r="39" customFormat="false" ht="15" hidden="false" customHeight="true" outlineLevel="0" collapsed="false">
      <c r="A39" s="6" t="s">
        <v>343</v>
      </c>
      <c r="C39" s="25" t="n">
        <f aca="false">SUMIFS($C33:$N33,$C$6:$N$6,C$6,$C$4:$N$4,"&lt;="&amp;C$4)</f>
        <v>4365</v>
      </c>
      <c r="D39" s="25" t="n">
        <f aca="false">SUMIFS($C33:$N33,$C$6:$N$6,D$6,$C$4:$N$4,"&lt;="&amp;D$4)</f>
        <v>10940</v>
      </c>
      <c r="E39" s="25" t="n">
        <f aca="false">SUMIFS($C33:$N33,$C$6:$N$6,E$6,$C$4:$N$4,"&lt;="&amp;E$4)</f>
        <v>17795</v>
      </c>
      <c r="F39" s="25" t="n">
        <f aca="false">SUMIFS($C33:$N33,$C$6:$N$6,F$6,$C$4:$N$4,"&lt;="&amp;F$4)</f>
        <v>25265</v>
      </c>
      <c r="G39" s="25" t="n">
        <f aca="false">SUMIFS($C33:$N33,$C$6:$N$6,G$6,$C$4:$N$4,"&lt;="&amp;G$4)</f>
        <v>31885</v>
      </c>
      <c r="H39" s="25" t="n">
        <f aca="false">SUMIFS($C33:$N33,$C$6:$N$6,H$6,$C$4:$N$4,"&lt;="&amp;H$4)</f>
        <v>38505</v>
      </c>
      <c r="I39" s="25" t="n">
        <f aca="false">SUMIFS($C33:$N33,$C$6:$N$6,I$6,$C$4:$N$4,"&lt;="&amp;I$4)</f>
        <v>45975</v>
      </c>
      <c r="J39" s="25" t="n">
        <f aca="false">SUMIFS($C33:$N33,$C$6:$N$6,J$6,$C$4:$N$4,"&lt;="&amp;J$4)</f>
        <v>53725</v>
      </c>
      <c r="K39" s="25" t="n">
        <f aca="false">SUMIFS($C33:$N33,$C$6:$N$6,K$6,$C$4:$N$4,"&lt;="&amp;K$4)</f>
        <v>61475</v>
      </c>
      <c r="L39" s="25" t="n">
        <f aca="false">SUMIFS($C33:$N33,$C$6:$N$6,L$6,$C$4:$N$4,"&lt;="&amp;L$4)</f>
        <v>69840</v>
      </c>
      <c r="M39" s="25" t="n">
        <f aca="false">SUMIFS($C33:$N33,$C$6:$N$6,M$6,$C$4:$N$4,"&lt;="&amp;M$4)</f>
        <v>6620</v>
      </c>
      <c r="N39" s="25" t="n">
        <f aca="false">SUMIFS($C33:$N33,$C$6:$N$6,N$6,$C$4:$N$4,"&lt;="&amp;N$4)</f>
        <v>13240</v>
      </c>
    </row>
    <row r="40" customFormat="false" ht="15" hidden="false" customHeight="true" outlineLevel="0" collapsed="false">
      <c r="A40" s="6" t="s">
        <v>344</v>
      </c>
      <c r="C40" s="42" t="n">
        <f aca="false">IF(FormaOpodatkowania="ryczałt",IF(C39&lt;=RyczProg1,ZdrRycz1,IF(C39&lt;=RyczProg2,ZdrRycz2,ZdrRycz3)),MAX(ZdrMin,ROUND(MAX(0,C38)*IF(FormaOpodatkowania="liniowy",ZdrLin,ZdrSkala),2)))</f>
        <v>498.35</v>
      </c>
      <c r="D40" s="42" t="n">
        <f aca="false">IF(FormaOpodatkowania="ryczałt",IF(D39&lt;=RyczProg1,ZdrRycz1,IF(D39&lt;=RyczProg2,ZdrRycz2,ZdrRycz3)),MAX(ZdrMin,ROUND(MAX(0,D38)*IF(FormaOpodatkowania="liniowy",ZdrLin,ZdrSkala),2)))</f>
        <v>498.35</v>
      </c>
      <c r="E40" s="42" t="n">
        <f aca="false">IF(FormaOpodatkowania="ryczałt",IF(E39&lt;=RyczProg1,ZdrRycz1,IF(E39&lt;=RyczProg2,ZdrRycz2,ZdrRycz3)),MAX(ZdrMin,ROUND(MAX(0,E38)*IF(FormaOpodatkowania="liniowy",ZdrLin,ZdrSkala),2)))</f>
        <v>498.35</v>
      </c>
      <c r="F40" s="42" t="n">
        <f aca="false">IF(FormaOpodatkowania="ryczałt",IF(F39&lt;=RyczProg1,ZdrRycz1,IF(F39&lt;=RyczProg2,ZdrRycz2,ZdrRycz3)),MAX(ZdrMin,ROUND(MAX(0,F38)*IF(FormaOpodatkowania="liniowy",ZdrLin,ZdrSkala),2)))</f>
        <v>498.35</v>
      </c>
      <c r="G40" s="42" t="n">
        <f aca="false">IF(FormaOpodatkowania="ryczałt",IF(G39&lt;=RyczProg1,ZdrRycz1,IF(G39&lt;=RyczProg2,ZdrRycz2,ZdrRycz3)),MAX(ZdrMin,ROUND(MAX(0,G38)*IF(FormaOpodatkowania="liniowy",ZdrLin,ZdrSkala),2)))</f>
        <v>498.35</v>
      </c>
      <c r="H40" s="42" t="n">
        <f aca="false">IF(FormaOpodatkowania="ryczałt",IF(H39&lt;=RyczProg1,ZdrRycz1,IF(H39&lt;=RyczProg2,ZdrRycz2,ZdrRycz3)),MAX(ZdrMin,ROUND(MAX(0,H38)*IF(FormaOpodatkowania="liniowy",ZdrLin,ZdrSkala),2)))</f>
        <v>498.35</v>
      </c>
      <c r="I40" s="42" t="n">
        <f aca="false">IF(FormaOpodatkowania="ryczałt",IF(I39&lt;=RyczProg1,ZdrRycz1,IF(I39&lt;=RyczProg2,ZdrRycz2,ZdrRycz3)),MAX(ZdrMin,ROUND(MAX(0,I38)*IF(FormaOpodatkowania="liniowy",ZdrLin,ZdrSkala),2)))</f>
        <v>498.35</v>
      </c>
      <c r="J40" s="42" t="n">
        <f aca="false">IF(FormaOpodatkowania="ryczałt",IF(J39&lt;=RyczProg1,ZdrRycz1,IF(J39&lt;=RyczProg2,ZdrRycz2,ZdrRycz3)),MAX(ZdrMin,ROUND(MAX(0,J38)*IF(FormaOpodatkowania="liniowy",ZdrLin,ZdrSkala),2)))</f>
        <v>498.35</v>
      </c>
      <c r="K40" s="42" t="n">
        <f aca="false">IF(FormaOpodatkowania="ryczałt",IF(K39&lt;=RyczProg1,ZdrRycz1,IF(K39&lt;=RyczProg2,ZdrRycz2,ZdrRycz3)),MAX(ZdrMin,ROUND(MAX(0,K38)*IF(FormaOpodatkowania="liniowy",ZdrLin,ZdrSkala),2)))</f>
        <v>830.58</v>
      </c>
      <c r="L40" s="42" t="n">
        <f aca="false">IF(FormaOpodatkowania="ryczałt",IF(L39&lt;=RyczProg1,ZdrRycz1,IF(L39&lt;=RyczProg2,ZdrRycz2,ZdrRycz3)),MAX(ZdrMin,ROUND(MAX(0,L38)*IF(FormaOpodatkowania="liniowy",ZdrLin,ZdrSkala),2)))</f>
        <v>830.58</v>
      </c>
      <c r="M40" s="42" t="n">
        <f aca="false">IF(FormaOpodatkowania="ryczałt",IF(M39&lt;=RyczProg1,ZdrRycz1,IF(M39&lt;=RyczProg2,ZdrRycz2,ZdrRycz3)),MAX(ZdrMin,ROUND(MAX(0,M38)*IF(FormaOpodatkowania="liniowy",ZdrLin,ZdrSkala),2)))</f>
        <v>498.35</v>
      </c>
      <c r="N40" s="42" t="n">
        <f aca="false">IF(FormaOpodatkowania="ryczałt",IF(N39&lt;=RyczProg1,ZdrRycz1,IF(N39&lt;=RyczProg2,ZdrRycz2,ZdrRycz3)),MAX(ZdrMin,ROUND(MAX(0,N38)*IF(FormaOpodatkowania="liniowy",ZdrLin,ZdrSkala),2)))</f>
        <v>498.35</v>
      </c>
      <c r="O40" s="25" t="n">
        <f aca="false">SUM(C40:N40)</f>
        <v>6644.66</v>
      </c>
    </row>
    <row r="41" customFormat="false" ht="15" hidden="false" customHeight="true" outlineLevel="0" collapsed="false">
      <c r="A41" s="6" t="s">
        <v>345</v>
      </c>
      <c r="C41" s="25" t="n">
        <f aca="false">SUMIFS($C40:$N40,$C$6:$N$6,C$6,$C$4:$N$4,"&lt;="&amp;C$4)</f>
        <v>498.35</v>
      </c>
      <c r="D41" s="25" t="n">
        <f aca="false">SUMIFS($C40:$N40,$C$6:$N$6,D$6,$C$4:$N$4,"&lt;="&amp;D$4)</f>
        <v>996.7</v>
      </c>
      <c r="E41" s="25" t="n">
        <f aca="false">SUMIFS($C40:$N40,$C$6:$N$6,E$6,$C$4:$N$4,"&lt;="&amp;E$4)</f>
        <v>1495.05</v>
      </c>
      <c r="F41" s="25" t="n">
        <f aca="false">SUMIFS($C40:$N40,$C$6:$N$6,F$6,$C$4:$N$4,"&lt;="&amp;F$4)</f>
        <v>1993.4</v>
      </c>
      <c r="G41" s="25" t="n">
        <f aca="false">SUMIFS($C40:$N40,$C$6:$N$6,G$6,$C$4:$N$4,"&lt;="&amp;G$4)</f>
        <v>2491.75</v>
      </c>
      <c r="H41" s="25" t="n">
        <f aca="false">SUMIFS($C40:$N40,$C$6:$N$6,H$6,$C$4:$N$4,"&lt;="&amp;H$4)</f>
        <v>2990.1</v>
      </c>
      <c r="I41" s="25" t="n">
        <f aca="false">SUMIFS($C40:$N40,$C$6:$N$6,I$6,$C$4:$N$4,"&lt;="&amp;I$4)</f>
        <v>3488.45</v>
      </c>
      <c r="J41" s="25" t="n">
        <f aca="false">SUMIFS($C40:$N40,$C$6:$N$6,J$6,$C$4:$N$4,"&lt;="&amp;J$4)</f>
        <v>3986.8</v>
      </c>
      <c r="K41" s="25" t="n">
        <f aca="false">SUMIFS($C40:$N40,$C$6:$N$6,K$6,$C$4:$N$4,"&lt;="&amp;K$4)</f>
        <v>4817.38</v>
      </c>
      <c r="L41" s="25" t="n">
        <f aca="false">SUMIFS($C40:$N40,$C$6:$N$6,L$6,$C$4:$N$4,"&lt;="&amp;L$4)</f>
        <v>5647.96</v>
      </c>
      <c r="M41" s="25" t="n">
        <f aca="false">SUMIFS($C40:$N40,$C$6:$N$6,M$6,$C$4:$N$4,"&lt;="&amp;M$4)</f>
        <v>498.35</v>
      </c>
      <c r="N41" s="25" t="n">
        <f aca="false">SUMIFS($C40:$N40,$C$6:$N$6,N$6,$C$4:$N$4,"&lt;="&amp;N$4)</f>
        <v>996.7</v>
      </c>
    </row>
    <row r="42" customFormat="false" ht="15" hidden="false" customHeight="true" outlineLevel="0" collapsed="false">
      <c r="A42" s="6" t="s">
        <v>346</v>
      </c>
      <c r="C42" s="42" t="n">
        <f aca="false">IF(FormaOpodatkowania="liniowy",MIN(C41,LimitZdrLin)-MIN(C41-C40,LimitZdrLin),IF(FormaOpodatkowania="ryczałt",ROUND(C40*RyczOdlicz,2),0))</f>
        <v>249.18</v>
      </c>
      <c r="D42" s="42" t="n">
        <f aca="false">IF(FormaOpodatkowania="liniowy",MIN(D41,LimitZdrLin)-MIN(D41-D40,LimitZdrLin),IF(FormaOpodatkowania="ryczałt",ROUND(D40*RyczOdlicz,2),0))</f>
        <v>249.18</v>
      </c>
      <c r="E42" s="42" t="n">
        <f aca="false">IF(FormaOpodatkowania="liniowy",MIN(E41,LimitZdrLin)-MIN(E41-E40,LimitZdrLin),IF(FormaOpodatkowania="ryczałt",ROUND(E40*RyczOdlicz,2),0))</f>
        <v>249.18</v>
      </c>
      <c r="F42" s="42" t="n">
        <f aca="false">IF(FormaOpodatkowania="liniowy",MIN(F41,LimitZdrLin)-MIN(F41-F40,LimitZdrLin),IF(FormaOpodatkowania="ryczałt",ROUND(F40*RyczOdlicz,2),0))</f>
        <v>249.18</v>
      </c>
      <c r="G42" s="42" t="n">
        <f aca="false">IF(FormaOpodatkowania="liniowy",MIN(G41,LimitZdrLin)-MIN(G41-G40,LimitZdrLin),IF(FormaOpodatkowania="ryczałt",ROUND(G40*RyczOdlicz,2),0))</f>
        <v>249.18</v>
      </c>
      <c r="H42" s="42" t="n">
        <f aca="false">IF(FormaOpodatkowania="liniowy",MIN(H41,LimitZdrLin)-MIN(H41-H40,LimitZdrLin),IF(FormaOpodatkowania="ryczałt",ROUND(H40*RyczOdlicz,2),0))</f>
        <v>249.18</v>
      </c>
      <c r="I42" s="42" t="n">
        <f aca="false">IF(FormaOpodatkowania="liniowy",MIN(I41,LimitZdrLin)-MIN(I41-I40,LimitZdrLin),IF(FormaOpodatkowania="ryczałt",ROUND(I40*RyczOdlicz,2),0))</f>
        <v>249.18</v>
      </c>
      <c r="J42" s="42" t="n">
        <f aca="false">IF(FormaOpodatkowania="liniowy",MIN(J41,LimitZdrLin)-MIN(J41-J40,LimitZdrLin),IF(FormaOpodatkowania="ryczałt",ROUND(J40*RyczOdlicz,2),0))</f>
        <v>249.18</v>
      </c>
      <c r="K42" s="42" t="n">
        <f aca="false">IF(FormaOpodatkowania="liniowy",MIN(K41,LimitZdrLin)-MIN(K41-K40,LimitZdrLin),IF(FormaOpodatkowania="ryczałt",ROUND(K40*RyczOdlicz,2),0))</f>
        <v>415.29</v>
      </c>
      <c r="L42" s="42" t="n">
        <f aca="false">IF(FormaOpodatkowania="liniowy",MIN(L41,LimitZdrLin)-MIN(L41-L40,LimitZdrLin),IF(FormaOpodatkowania="ryczałt",ROUND(L40*RyczOdlicz,2),0))</f>
        <v>415.29</v>
      </c>
      <c r="M42" s="42" t="n">
        <f aca="false">IF(FormaOpodatkowania="liniowy",MIN(M41,LimitZdrLin)-MIN(M41-M40,LimitZdrLin),IF(FormaOpodatkowania="ryczałt",ROUND(M40*RyczOdlicz,2),0))</f>
        <v>249.18</v>
      </c>
      <c r="N42" s="42" t="n">
        <f aca="false">IF(FormaOpodatkowania="liniowy",MIN(N41,LimitZdrLin)-MIN(N41-N40,LimitZdrLin),IF(FormaOpodatkowania="ryczałt",ROUND(N40*RyczOdlicz,2),0))</f>
        <v>249.18</v>
      </c>
      <c r="O42" s="25" t="n">
        <f aca="false">SUM(C42:N42)</f>
        <v>3322.38</v>
      </c>
    </row>
    <row r="43" customFormat="false" ht="15" hidden="false" customHeight="true" outlineLevel="0" collapsed="false">
      <c r="A43" s="6" t="s">
        <v>347</v>
      </c>
      <c r="C43" s="42" t="n">
        <f aca="false">IF(FormaOpodatkowania="ryczałt",C33-C37-C42,C33-C36-C37-C42)</f>
        <v>4115.82</v>
      </c>
      <c r="D43" s="42" t="n">
        <f aca="false">IF(FormaOpodatkowania="ryczałt",D33-D37-D42,D33-D36-D37-D42)</f>
        <v>6325.82</v>
      </c>
      <c r="E43" s="42" t="n">
        <f aca="false">IF(FormaOpodatkowania="ryczałt",E33-E37-E42,E33-E36-E37-E42)</f>
        <v>6605.82</v>
      </c>
      <c r="F43" s="42" t="n">
        <f aca="false">IF(FormaOpodatkowania="ryczałt",F33-F37-F42,F33-F36-F37-F42)</f>
        <v>7220.82</v>
      </c>
      <c r="G43" s="42" t="n">
        <f aca="false">IF(FormaOpodatkowania="ryczałt",G33-G37-G42,G33-G36-G37-G42)</f>
        <v>6370.82</v>
      </c>
      <c r="H43" s="42" t="n">
        <f aca="false">IF(FormaOpodatkowania="ryczałt",H33-H37-H42,H33-H36-H37-H42)</f>
        <v>6370.82</v>
      </c>
      <c r="I43" s="42" t="n">
        <f aca="false">IF(FormaOpodatkowania="ryczałt",I33-I37-I42,I33-I36-I37-I42)</f>
        <v>6764.64</v>
      </c>
      <c r="J43" s="42" t="n">
        <f aca="false">IF(FormaOpodatkowania="ryczałt",J33-J37-J42,J33-J36-J37-J42)</f>
        <v>7044.64</v>
      </c>
      <c r="K43" s="42" t="n">
        <f aca="false">IF(FormaOpodatkowania="ryczałt",K33-K37-K42,K33-K36-K37-K42)</f>
        <v>6878.53</v>
      </c>
      <c r="L43" s="42" t="n">
        <f aca="false">IF(FormaOpodatkowania="ryczałt",L33-L37-L42,L33-L36-L37-L42)</f>
        <v>7493.53</v>
      </c>
      <c r="M43" s="42" t="n">
        <f aca="false">IF(FormaOpodatkowania="ryczałt",M33-M37-M42,M33-M36-M37-M42)</f>
        <v>5914.64</v>
      </c>
      <c r="N43" s="42" t="n">
        <f aca="false">IF(FormaOpodatkowania="ryczałt",N33-N37-N42,N33-N36-N37-N42)</f>
        <v>5914.64</v>
      </c>
      <c r="O43" s="25" t="n">
        <f aca="false">SUM(C43:N43)</f>
        <v>77020.54</v>
      </c>
    </row>
    <row r="44" customFormat="false" ht="15" hidden="false" customHeight="true" outlineLevel="0" collapsed="false">
      <c r="A44" s="6" t="s">
        <v>348</v>
      </c>
      <c r="C44" s="25" t="n">
        <f aca="false">SUMIFS($C43:$N43,$C$6:$N$6,C$6,$C$4:$N$4,"&lt;="&amp;C$4)</f>
        <v>4115.82</v>
      </c>
      <c r="D44" s="25" t="n">
        <f aca="false">SUMIFS($C43:$N43,$C$6:$N$6,D$6,$C$4:$N$4,"&lt;="&amp;D$4)</f>
        <v>10441.64</v>
      </c>
      <c r="E44" s="25" t="n">
        <f aca="false">SUMIFS($C43:$N43,$C$6:$N$6,E$6,$C$4:$N$4,"&lt;="&amp;E$4)</f>
        <v>17047.46</v>
      </c>
      <c r="F44" s="25" t="n">
        <f aca="false">SUMIFS($C43:$N43,$C$6:$N$6,F$6,$C$4:$N$4,"&lt;="&amp;F$4)</f>
        <v>24268.28</v>
      </c>
      <c r="G44" s="25" t="n">
        <f aca="false">SUMIFS($C43:$N43,$C$6:$N$6,G$6,$C$4:$N$4,"&lt;="&amp;G$4)</f>
        <v>30639.1</v>
      </c>
      <c r="H44" s="25" t="n">
        <f aca="false">SUMIFS($C43:$N43,$C$6:$N$6,H$6,$C$4:$N$4,"&lt;="&amp;H$4)</f>
        <v>37009.92</v>
      </c>
      <c r="I44" s="25" t="n">
        <f aca="false">SUMIFS($C43:$N43,$C$6:$N$6,I$6,$C$4:$N$4,"&lt;="&amp;I$4)</f>
        <v>43774.56</v>
      </c>
      <c r="J44" s="25" t="n">
        <f aca="false">SUMIFS($C43:$N43,$C$6:$N$6,J$6,$C$4:$N$4,"&lt;="&amp;J$4)</f>
        <v>50819.2</v>
      </c>
      <c r="K44" s="25" t="n">
        <f aca="false">SUMIFS($C43:$N43,$C$6:$N$6,K$6,$C$4:$N$4,"&lt;="&amp;K$4)</f>
        <v>57697.73</v>
      </c>
      <c r="L44" s="25" t="n">
        <f aca="false">SUMIFS($C43:$N43,$C$6:$N$6,L$6,$C$4:$N$4,"&lt;="&amp;L$4)</f>
        <v>65191.26</v>
      </c>
      <c r="M44" s="25" t="n">
        <f aca="false">SUMIFS($C43:$N43,$C$6:$N$6,M$6,$C$4:$N$4,"&lt;="&amp;M$4)</f>
        <v>5914.64</v>
      </c>
      <c r="N44" s="25" t="n">
        <f aca="false">SUMIFS($C43:$N43,$C$6:$N$6,N$6,$C$4:$N$4,"&lt;="&amp;N$4)</f>
        <v>11829.28</v>
      </c>
    </row>
    <row r="45" customFormat="false" ht="15" hidden="false" customHeight="true" outlineLevel="0" collapsed="false">
      <c r="A45" s="6" t="s">
        <v>349</v>
      </c>
      <c r="C45" s="42" t="n">
        <f aca="false">ROUND(IF(FormaOpodatkowania="ryczałt",MAX(0,C44)*StawkaRyczaltu,IF(FormaOpodatkowania="liniowy",MAX(0,C44)*StLiniowy,IF(C44&lt;=ProgPod,MAX(0,C44*Stawka1-KwotaZmn),ProgPod*Stawka1-KwotaZmn+(C44-ProgPod)*Stawka2))),0)</f>
        <v>350</v>
      </c>
      <c r="D45" s="42" t="n">
        <f aca="false">ROUND(IF(FormaOpodatkowania="ryczałt",MAX(0,D44)*StawkaRyczaltu,IF(FormaOpodatkowania="liniowy",MAX(0,D44)*StLiniowy,IF(D44&lt;=ProgPod,MAX(0,D44*Stawka1-KwotaZmn),ProgPod*Stawka1-KwotaZmn+(D44-ProgPod)*Stawka2))),0)</f>
        <v>888</v>
      </c>
      <c r="E45" s="42" t="n">
        <f aca="false">ROUND(IF(FormaOpodatkowania="ryczałt",MAX(0,E44)*StawkaRyczaltu,IF(FormaOpodatkowania="liniowy",MAX(0,E44)*StLiniowy,IF(E44&lt;=ProgPod,MAX(0,E44*Stawka1-KwotaZmn),ProgPod*Stawka1-KwotaZmn+(E44-ProgPod)*Stawka2))),0)</f>
        <v>1449</v>
      </c>
      <c r="F45" s="42" t="n">
        <f aca="false">ROUND(IF(FormaOpodatkowania="ryczałt",MAX(0,F44)*StawkaRyczaltu,IF(FormaOpodatkowania="liniowy",MAX(0,F44)*StLiniowy,IF(F44&lt;=ProgPod,MAX(0,F44*Stawka1-KwotaZmn),ProgPod*Stawka1-KwotaZmn+(F44-ProgPod)*Stawka2))),0)</f>
        <v>2063</v>
      </c>
      <c r="G45" s="42" t="n">
        <f aca="false">ROUND(IF(FormaOpodatkowania="ryczałt",MAX(0,G44)*StawkaRyczaltu,IF(FormaOpodatkowania="liniowy",MAX(0,G44)*StLiniowy,IF(G44&lt;=ProgPod,MAX(0,G44*Stawka1-KwotaZmn),ProgPod*Stawka1-KwotaZmn+(G44-ProgPod)*Stawka2))),0)</f>
        <v>2604</v>
      </c>
      <c r="H45" s="42" t="n">
        <f aca="false">ROUND(IF(FormaOpodatkowania="ryczałt",MAX(0,H44)*StawkaRyczaltu,IF(FormaOpodatkowania="liniowy",MAX(0,H44)*StLiniowy,IF(H44&lt;=ProgPod,MAX(0,H44*Stawka1-KwotaZmn),ProgPod*Stawka1-KwotaZmn+(H44-ProgPod)*Stawka2))),0)</f>
        <v>3146</v>
      </c>
      <c r="I45" s="42" t="n">
        <f aca="false">ROUND(IF(FormaOpodatkowania="ryczałt",MAX(0,I44)*StawkaRyczaltu,IF(FormaOpodatkowania="liniowy",MAX(0,I44)*StLiniowy,IF(I44&lt;=ProgPod,MAX(0,I44*Stawka1-KwotaZmn),ProgPod*Stawka1-KwotaZmn+(I44-ProgPod)*Stawka2))),0)</f>
        <v>3721</v>
      </c>
      <c r="J45" s="42" t="n">
        <f aca="false">ROUND(IF(FormaOpodatkowania="ryczałt",MAX(0,J44)*StawkaRyczaltu,IF(FormaOpodatkowania="liniowy",MAX(0,J44)*StLiniowy,IF(J44&lt;=ProgPod,MAX(0,J44*Stawka1-KwotaZmn),ProgPod*Stawka1-KwotaZmn+(J44-ProgPod)*Stawka2))),0)</f>
        <v>4320</v>
      </c>
      <c r="K45" s="42" t="n">
        <f aca="false">ROUND(IF(FormaOpodatkowania="ryczałt",MAX(0,K44)*StawkaRyczaltu,IF(FormaOpodatkowania="liniowy",MAX(0,K44)*StLiniowy,IF(K44&lt;=ProgPod,MAX(0,K44*Stawka1-KwotaZmn),ProgPod*Stawka1-KwotaZmn+(K44-ProgPod)*Stawka2))),0)</f>
        <v>4904</v>
      </c>
      <c r="L45" s="42" t="n">
        <f aca="false">ROUND(IF(FormaOpodatkowania="ryczałt",MAX(0,L44)*StawkaRyczaltu,IF(FormaOpodatkowania="liniowy",MAX(0,L44)*StLiniowy,IF(L44&lt;=ProgPod,MAX(0,L44*Stawka1-KwotaZmn),ProgPod*Stawka1-KwotaZmn+(L44-ProgPod)*Stawka2))),0)</f>
        <v>5541</v>
      </c>
      <c r="M45" s="42" t="n">
        <f aca="false">ROUND(IF(FormaOpodatkowania="ryczałt",MAX(0,M44)*StawkaRyczaltu,IF(FormaOpodatkowania="liniowy",MAX(0,M44)*StLiniowy,IF(M44&lt;=ProgPod,MAX(0,M44*Stawka1-KwotaZmn),ProgPod*Stawka1-KwotaZmn+(M44-ProgPod)*Stawka2))),0)</f>
        <v>503</v>
      </c>
      <c r="N45" s="42" t="n">
        <f aca="false">ROUND(IF(FormaOpodatkowania="ryczałt",MAX(0,N44)*StawkaRyczaltu,IF(FormaOpodatkowania="liniowy",MAX(0,N44)*StLiniowy,IF(N44&lt;=ProgPod,MAX(0,N44*Stawka1-KwotaZmn),ProgPod*Stawka1-KwotaZmn+(N44-ProgPod)*Stawka2))),0)</f>
        <v>1005</v>
      </c>
    </row>
    <row r="46" customFormat="false" ht="15" hidden="false" customHeight="true" outlineLevel="0" collapsed="false">
      <c r="A46" s="6" t="s">
        <v>350</v>
      </c>
      <c r="C46" s="25" t="n">
        <f aca="false">C45</f>
        <v>350</v>
      </c>
      <c r="D46" s="25" t="n">
        <f aca="false">IF(D$6=C$6,MAX(D45,C46),D45)</f>
        <v>888</v>
      </c>
      <c r="E46" s="25" t="n">
        <f aca="false">IF(E$6=D$6,MAX(E45,D46),E45)</f>
        <v>1449</v>
      </c>
      <c r="F46" s="25" t="n">
        <f aca="false">IF(F$6=E$6,MAX(F45,E46),F45)</f>
        <v>2063</v>
      </c>
      <c r="G46" s="25" t="n">
        <f aca="false">IF(G$6=F$6,MAX(G45,F46),G45)</f>
        <v>2604</v>
      </c>
      <c r="H46" s="25" t="n">
        <f aca="false">IF(H$6=G$6,MAX(H45,G46),H45)</f>
        <v>3146</v>
      </c>
      <c r="I46" s="25" t="n">
        <f aca="false">IF(I$6=H$6,MAX(I45,H46),I45)</f>
        <v>3721</v>
      </c>
      <c r="J46" s="25" t="n">
        <f aca="false">IF(J$6=I$6,MAX(J45,I46),J45)</f>
        <v>4320</v>
      </c>
      <c r="K46" s="25" t="n">
        <f aca="false">IF(K$6=J$6,MAX(K45,J46),K45)</f>
        <v>4904</v>
      </c>
      <c r="L46" s="25" t="n">
        <f aca="false">IF(L$6=K$6,MAX(L45,K46),L45)</f>
        <v>5541</v>
      </c>
      <c r="M46" s="25" t="n">
        <f aca="false">IF(M$6=L$6,MAX(M45,L46),M45)</f>
        <v>503</v>
      </c>
      <c r="N46" s="25" t="n">
        <f aca="false">IF(N$6=M$6,MAX(N45,M46),N45)</f>
        <v>1005</v>
      </c>
    </row>
    <row r="47" customFormat="false" ht="15" hidden="false" customHeight="true" outlineLevel="0" collapsed="false">
      <c r="A47" s="6" t="s">
        <v>351</v>
      </c>
      <c r="C47" s="25" t="n">
        <f aca="false">C46</f>
        <v>350</v>
      </c>
      <c r="D47" s="25" t="n">
        <f aca="false">IF(D$6=C$6,D46-C46,D46)</f>
        <v>538</v>
      </c>
      <c r="E47" s="25" t="n">
        <f aca="false">IF(E$6=D$6,E46-D46,E46)</f>
        <v>561</v>
      </c>
      <c r="F47" s="25" t="n">
        <f aca="false">IF(F$6=E$6,F46-E46,F46)</f>
        <v>614</v>
      </c>
      <c r="G47" s="25" t="n">
        <f aca="false">IF(G$6=F$6,G46-F46,G46)</f>
        <v>541</v>
      </c>
      <c r="H47" s="25" t="n">
        <f aca="false">IF(H$6=G$6,H46-G46,H46)</f>
        <v>542</v>
      </c>
      <c r="I47" s="25" t="n">
        <f aca="false">IF(I$6=H$6,I46-H46,I46)</f>
        <v>575</v>
      </c>
      <c r="J47" s="25" t="n">
        <f aca="false">IF(J$6=I$6,J46-I46,J46)</f>
        <v>599</v>
      </c>
      <c r="K47" s="25" t="n">
        <f aca="false">IF(K$6=J$6,K46-J46,K46)</f>
        <v>584</v>
      </c>
      <c r="L47" s="25" t="n">
        <f aca="false">IF(L$6=K$6,L46-K46,L46)</f>
        <v>637</v>
      </c>
      <c r="M47" s="25" t="n">
        <f aca="false">IF(M$6=L$6,M46-L46,M46)</f>
        <v>503</v>
      </c>
      <c r="N47" s="25" t="n">
        <f aca="false">IF(N$6=M$6,N46-M46,N46)</f>
        <v>502</v>
      </c>
      <c r="O47" s="25" t="n">
        <f aca="false">SUM(C47:N47)</f>
        <v>6546</v>
      </c>
    </row>
    <row r="48" customFormat="false" ht="15" hidden="false" customHeight="true" outlineLevel="0" collapsed="false">
      <c r="A48" s="40" t="s">
        <v>352</v>
      </c>
      <c r="B48" s="40"/>
      <c r="C48" s="41" t="n">
        <f aca="false">C36+C37+C40</f>
        <v>1723.9</v>
      </c>
      <c r="D48" s="41" t="n">
        <f aca="false">D36+D37+D40</f>
        <v>1878.6</v>
      </c>
      <c r="E48" s="41" t="n">
        <f aca="false">E36+E37+E40</f>
        <v>1898.2</v>
      </c>
      <c r="F48" s="41" t="n">
        <f aca="false">F36+F37+F40</f>
        <v>1941.25</v>
      </c>
      <c r="G48" s="41" t="n">
        <f aca="false">G36+G37+G40</f>
        <v>1881.75</v>
      </c>
      <c r="H48" s="41" t="n">
        <f aca="false">H36+H37+H40</f>
        <v>1881.75</v>
      </c>
      <c r="I48" s="41" t="n">
        <f aca="false">I36+I37+I40</f>
        <v>2397.43</v>
      </c>
      <c r="J48" s="41" t="n">
        <f aca="false">J36+J37+J40</f>
        <v>2417.03</v>
      </c>
      <c r="K48" s="41" t="n">
        <f aca="false">K36+K37+K40</f>
        <v>2749.26</v>
      </c>
      <c r="L48" s="41" t="n">
        <f aca="false">L36+L37+L40</f>
        <v>2792.31</v>
      </c>
      <c r="M48" s="41" t="n">
        <f aca="false">M36+M37+M40</f>
        <v>2337.93</v>
      </c>
      <c r="N48" s="41" t="n">
        <f aca="false">N36+N37+N40</f>
        <v>2337.93</v>
      </c>
      <c r="O48" s="41" t="n">
        <f aca="false">SUM(C48:N48)</f>
        <v>26237.34</v>
      </c>
    </row>
    <row r="49" customFormat="false" ht="15" hidden="false" customHeight="true" outlineLevel="0" collapsed="false">
      <c r="A49" s="40" t="s">
        <v>353</v>
      </c>
      <c r="B49" s="40"/>
      <c r="C49" s="41" t="n">
        <f aca="false">C33-C48</f>
        <v>2641.1</v>
      </c>
      <c r="D49" s="41" t="n">
        <f aca="false">D33-D48</f>
        <v>4696.4</v>
      </c>
      <c r="E49" s="41" t="n">
        <f aca="false">E33-E48</f>
        <v>4956.8</v>
      </c>
      <c r="F49" s="41" t="n">
        <f aca="false">F33-F48</f>
        <v>5528.75</v>
      </c>
      <c r="G49" s="41" t="n">
        <f aca="false">G33-G48</f>
        <v>4738.25</v>
      </c>
      <c r="H49" s="41" t="n">
        <f aca="false">H33-H48</f>
        <v>4738.25</v>
      </c>
      <c r="I49" s="41" t="n">
        <f aca="false">I33-I48</f>
        <v>5072.57</v>
      </c>
      <c r="J49" s="41" t="n">
        <f aca="false">J33-J48</f>
        <v>5332.97</v>
      </c>
      <c r="K49" s="41" t="n">
        <f aca="false">K33-K48</f>
        <v>5000.74</v>
      </c>
      <c r="L49" s="41" t="n">
        <f aca="false">L33-L48</f>
        <v>5572.69</v>
      </c>
      <c r="M49" s="41" t="n">
        <f aca="false">M33-M48</f>
        <v>4282.07</v>
      </c>
      <c r="N49" s="41" t="n">
        <f aca="false">N33-N48</f>
        <v>4282.07</v>
      </c>
      <c r="O49" s="41" t="n">
        <f aca="false">SUM(C49:N49)</f>
        <v>56842.66</v>
      </c>
    </row>
    <row r="50" customFormat="false" ht="15" hidden="false" customHeight="true" outlineLevel="0" collapsed="false">
      <c r="A50" s="40" t="s">
        <v>354</v>
      </c>
      <c r="B50" s="40"/>
      <c r="C50" s="41" t="n">
        <f aca="false">C49-C47</f>
        <v>2291.1</v>
      </c>
      <c r="D50" s="41" t="n">
        <f aca="false">D49-D47</f>
        <v>4158.4</v>
      </c>
      <c r="E50" s="41" t="n">
        <f aca="false">E49-E47</f>
        <v>4395.8</v>
      </c>
      <c r="F50" s="41" t="n">
        <f aca="false">F49-F47</f>
        <v>4914.75</v>
      </c>
      <c r="G50" s="41" t="n">
        <f aca="false">G49-G47</f>
        <v>4197.25</v>
      </c>
      <c r="H50" s="41" t="n">
        <f aca="false">H49-H47</f>
        <v>4196.25</v>
      </c>
      <c r="I50" s="41" t="n">
        <f aca="false">I49-I47</f>
        <v>4497.57</v>
      </c>
      <c r="J50" s="41" t="n">
        <f aca="false">J49-J47</f>
        <v>4733.97</v>
      </c>
      <c r="K50" s="41" t="n">
        <f aca="false">K49-K47</f>
        <v>4416.74</v>
      </c>
      <c r="L50" s="41" t="n">
        <f aca="false">L49-L47</f>
        <v>4935.69</v>
      </c>
      <c r="M50" s="41" t="n">
        <f aca="false">M49-M47</f>
        <v>3779.07</v>
      </c>
      <c r="N50" s="41" t="n">
        <f aca="false">N49-N47</f>
        <v>3780.07</v>
      </c>
      <c r="O50" s="41" t="n">
        <f aca="false">SUM(C50:N50)</f>
        <v>50296.66</v>
      </c>
    </row>
    <row r="52" customFormat="false" ht="15" hidden="false" customHeight="true" outlineLevel="0" collapsed="false">
      <c r="A52" s="16" t="s">
        <v>355</v>
      </c>
    </row>
    <row r="53" customFormat="false" ht="15" hidden="false" customHeight="true" outlineLevel="0" collapsed="false">
      <c r="A53" s="6" t="s">
        <v>304</v>
      </c>
      <c r="C53" s="42" t="n">
        <f aca="false">Przychody!C33*(1-SpadekPesym)</f>
        <v>3055.5</v>
      </c>
      <c r="D53" s="42" t="n">
        <f aca="false">Przychody!D33*(1-SpadekPesym)</f>
        <v>4602.5</v>
      </c>
      <c r="E53" s="42" t="n">
        <f aca="false">Przychody!E33*(1-SpadekPesym)</f>
        <v>4798.5</v>
      </c>
      <c r="F53" s="42" t="n">
        <f aca="false">Przychody!F33*(1-SpadekPesym)</f>
        <v>5229</v>
      </c>
      <c r="G53" s="42" t="n">
        <f aca="false">Przychody!G33*(1-SpadekPesym)</f>
        <v>4634</v>
      </c>
      <c r="H53" s="42" t="n">
        <f aca="false">Przychody!H33*(1-SpadekPesym)</f>
        <v>4634</v>
      </c>
      <c r="I53" s="42" t="n">
        <f aca="false">Przychody!I33*(1-SpadekPesym)</f>
        <v>5229</v>
      </c>
      <c r="J53" s="42" t="n">
        <f aca="false">Przychody!J33*(1-SpadekPesym)</f>
        <v>5425</v>
      </c>
      <c r="K53" s="42" t="n">
        <f aca="false">Przychody!K33*(1-SpadekPesym)</f>
        <v>5425</v>
      </c>
      <c r="L53" s="42" t="n">
        <f aca="false">Przychody!L33*(1-SpadekPesym)</f>
        <v>5855.5</v>
      </c>
      <c r="M53" s="42" t="n">
        <f aca="false">Przychody!M33*(1-SpadekPesym)</f>
        <v>4634</v>
      </c>
      <c r="N53" s="42" t="n">
        <f aca="false">Przychody!N33*(1-SpadekPesym)</f>
        <v>4634</v>
      </c>
      <c r="O53" s="25" t="n">
        <f aca="false">SUM(C53:N53)</f>
        <v>58156</v>
      </c>
    </row>
    <row r="54" customFormat="false" ht="15" hidden="false" customHeight="true" outlineLevel="0" collapsed="false">
      <c r="A54" s="6" t="s">
        <v>338</v>
      </c>
      <c r="C54" s="25" t="n">
        <f aca="false">C$17</f>
        <v>920</v>
      </c>
      <c r="D54" s="25" t="n">
        <f aca="false">D$17</f>
        <v>920</v>
      </c>
      <c r="E54" s="25" t="n">
        <f aca="false">E$17</f>
        <v>920</v>
      </c>
      <c r="F54" s="25" t="n">
        <f aca="false">F$17</f>
        <v>920</v>
      </c>
      <c r="G54" s="25" t="n">
        <f aca="false">G$17</f>
        <v>920</v>
      </c>
      <c r="H54" s="25" t="n">
        <f aca="false">H$17</f>
        <v>920</v>
      </c>
      <c r="I54" s="25" t="n">
        <f aca="false">I$17</f>
        <v>920</v>
      </c>
      <c r="J54" s="25" t="n">
        <f aca="false">J$17</f>
        <v>920</v>
      </c>
      <c r="K54" s="25" t="n">
        <f aca="false">K$17</f>
        <v>920</v>
      </c>
      <c r="L54" s="25" t="n">
        <f aca="false">L$17</f>
        <v>920</v>
      </c>
      <c r="M54" s="25" t="n">
        <f aca="false">M$17</f>
        <v>920</v>
      </c>
      <c r="N54" s="25" t="n">
        <f aca="false">N$17</f>
        <v>920</v>
      </c>
      <c r="O54" s="25" t="n">
        <f aca="false">SUM(C54:N54)</f>
        <v>11040</v>
      </c>
    </row>
    <row r="55" customFormat="false" ht="15" hidden="false" customHeight="true" outlineLevel="0" collapsed="false">
      <c r="A55" s="6" t="s">
        <v>339</v>
      </c>
      <c r="C55" s="25" t="n">
        <f aca="false">ROUND(C53*MaterialyPct,2)</f>
        <v>213.89</v>
      </c>
      <c r="D55" s="25" t="n">
        <f aca="false">ROUND(D53*MaterialyPct,2)</f>
        <v>322.18</v>
      </c>
      <c r="E55" s="25" t="n">
        <f aca="false">ROUND(E53*MaterialyPct,2)</f>
        <v>335.9</v>
      </c>
      <c r="F55" s="25" t="n">
        <f aca="false">ROUND(F53*MaterialyPct,2)</f>
        <v>366.03</v>
      </c>
      <c r="G55" s="25" t="n">
        <f aca="false">ROUND(G53*MaterialyPct,2)</f>
        <v>324.38</v>
      </c>
      <c r="H55" s="25" t="n">
        <f aca="false">ROUND(H53*MaterialyPct,2)</f>
        <v>324.38</v>
      </c>
      <c r="I55" s="25" t="n">
        <f aca="false">ROUND(I53*MaterialyPct,2)</f>
        <v>366.03</v>
      </c>
      <c r="J55" s="25" t="n">
        <f aca="false">ROUND(J53*MaterialyPct,2)</f>
        <v>379.75</v>
      </c>
      <c r="K55" s="25" t="n">
        <f aca="false">ROUND(K53*MaterialyPct,2)</f>
        <v>379.75</v>
      </c>
      <c r="L55" s="25" t="n">
        <f aca="false">ROUND(L53*MaterialyPct,2)</f>
        <v>409.89</v>
      </c>
      <c r="M55" s="25" t="n">
        <f aca="false">ROUND(M53*MaterialyPct,2)</f>
        <v>324.38</v>
      </c>
      <c r="N55" s="25" t="n">
        <f aca="false">ROUND(N53*MaterialyPct,2)</f>
        <v>324.38</v>
      </c>
      <c r="O55" s="25" t="n">
        <f aca="false">SUM(C55:N55)</f>
        <v>4070.94</v>
      </c>
    </row>
    <row r="56" customFormat="false" ht="15" hidden="false" customHeight="true" outlineLevel="0" collapsed="false">
      <c r="A56" s="40" t="s">
        <v>340</v>
      </c>
      <c r="B56" s="40"/>
      <c r="C56" s="41" t="n">
        <f aca="false">C54+C55</f>
        <v>1133.89</v>
      </c>
      <c r="D56" s="41" t="n">
        <f aca="false">D54+D55</f>
        <v>1242.18</v>
      </c>
      <c r="E56" s="41" t="n">
        <f aca="false">E54+E55</f>
        <v>1255.9</v>
      </c>
      <c r="F56" s="41" t="n">
        <f aca="false">F54+F55</f>
        <v>1286.03</v>
      </c>
      <c r="G56" s="41" t="n">
        <f aca="false">G54+G55</f>
        <v>1244.38</v>
      </c>
      <c r="H56" s="41" t="n">
        <f aca="false">H54+H55</f>
        <v>1244.38</v>
      </c>
      <c r="I56" s="41" t="n">
        <f aca="false">I54+I55</f>
        <v>1286.03</v>
      </c>
      <c r="J56" s="41" t="n">
        <f aca="false">J54+J55</f>
        <v>1299.75</v>
      </c>
      <c r="K56" s="41" t="n">
        <f aca="false">K54+K55</f>
        <v>1299.75</v>
      </c>
      <c r="L56" s="41" t="n">
        <f aca="false">L54+L55</f>
        <v>1329.89</v>
      </c>
      <c r="M56" s="41" t="n">
        <f aca="false">M54+M55</f>
        <v>1244.38</v>
      </c>
      <c r="N56" s="41" t="n">
        <f aca="false">N54+N55</f>
        <v>1244.38</v>
      </c>
      <c r="O56" s="41" t="n">
        <f aca="false">SUM(C56:N56)</f>
        <v>15110.94</v>
      </c>
    </row>
    <row r="57" customFormat="false" ht="15" hidden="false" customHeight="true" outlineLevel="0" collapsed="false">
      <c r="A57" s="6" t="s">
        <v>341</v>
      </c>
      <c r="C57" s="25" t="n">
        <f aca="false">C$30</f>
        <v>0</v>
      </c>
      <c r="D57" s="25" t="n">
        <f aca="false">D$30</f>
        <v>0</v>
      </c>
      <c r="E57" s="25" t="n">
        <f aca="false">E$30</f>
        <v>0</v>
      </c>
      <c r="F57" s="25" t="n">
        <f aca="false">F$30</f>
        <v>0</v>
      </c>
      <c r="G57" s="25" t="n">
        <f aca="false">G$30</f>
        <v>0</v>
      </c>
      <c r="H57" s="25" t="n">
        <f aca="false">H$30</f>
        <v>0</v>
      </c>
      <c r="I57" s="25" t="n">
        <f aca="false">I$30</f>
        <v>456.18</v>
      </c>
      <c r="J57" s="25" t="n">
        <f aca="false">J$30</f>
        <v>456.18</v>
      </c>
      <c r="K57" s="25" t="n">
        <f aca="false">K$30</f>
        <v>456.18</v>
      </c>
      <c r="L57" s="25" t="n">
        <f aca="false">L$30</f>
        <v>456.18</v>
      </c>
      <c r="M57" s="25" t="n">
        <f aca="false">M$30</f>
        <v>456.18</v>
      </c>
      <c r="N57" s="25" t="n">
        <f aca="false">N$30</f>
        <v>456.18</v>
      </c>
      <c r="O57" s="25" t="n">
        <f aca="false">SUM(C57:N57)</f>
        <v>2737.08</v>
      </c>
    </row>
    <row r="58" customFormat="false" ht="15" hidden="false" customHeight="true" outlineLevel="0" collapsed="false">
      <c r="A58" s="6" t="s">
        <v>342</v>
      </c>
      <c r="C58" s="25" t="n">
        <f aca="false">C53-C56-C57</f>
        <v>1921.61</v>
      </c>
      <c r="D58" s="25" t="n">
        <f aca="false">D53-D56-D57</f>
        <v>3360.32</v>
      </c>
      <c r="E58" s="25" t="n">
        <f aca="false">E53-E56-E57</f>
        <v>3542.6</v>
      </c>
      <c r="F58" s="25" t="n">
        <f aca="false">F53-F56-F57</f>
        <v>3942.97</v>
      </c>
      <c r="G58" s="25" t="n">
        <f aca="false">G53-G56-G57</f>
        <v>3389.62</v>
      </c>
      <c r="H58" s="25" t="n">
        <f aca="false">H53-H56-H57</f>
        <v>3389.62</v>
      </c>
      <c r="I58" s="25" t="n">
        <f aca="false">I53-I56-I57</f>
        <v>3486.79</v>
      </c>
      <c r="J58" s="25" t="n">
        <f aca="false">J53-J56-J57</f>
        <v>3669.07</v>
      </c>
      <c r="K58" s="25" t="n">
        <f aca="false">K53-K56-K57</f>
        <v>3669.07</v>
      </c>
      <c r="L58" s="25" t="n">
        <f aca="false">L53-L56-L57</f>
        <v>4069.43</v>
      </c>
      <c r="M58" s="25" t="n">
        <f aca="false">M53-M56-M57</f>
        <v>2933.44</v>
      </c>
      <c r="N58" s="25" t="n">
        <f aca="false">N53-N56-N57</f>
        <v>2933.44</v>
      </c>
      <c r="O58" s="25" t="n">
        <f aca="false">SUM(C58:N58)</f>
        <v>40307.98</v>
      </c>
    </row>
    <row r="59" customFormat="false" ht="15" hidden="false" customHeight="true" outlineLevel="0" collapsed="false">
      <c r="A59" s="6" t="s">
        <v>343</v>
      </c>
      <c r="C59" s="25" t="n">
        <f aca="false">SUMIFS($C53:$N53,$C$6:$N$6,C$6,$C$4:$N$4,"&lt;="&amp;C$4)</f>
        <v>3055.5</v>
      </c>
      <c r="D59" s="25" t="n">
        <f aca="false">SUMIFS($C53:$N53,$C$6:$N$6,D$6,$C$4:$N$4,"&lt;="&amp;D$4)</f>
        <v>7658</v>
      </c>
      <c r="E59" s="25" t="n">
        <f aca="false">SUMIFS($C53:$N53,$C$6:$N$6,E$6,$C$4:$N$4,"&lt;="&amp;E$4)</f>
        <v>12456.5</v>
      </c>
      <c r="F59" s="25" t="n">
        <f aca="false">SUMIFS($C53:$N53,$C$6:$N$6,F$6,$C$4:$N$4,"&lt;="&amp;F$4)</f>
        <v>17685.5</v>
      </c>
      <c r="G59" s="25" t="n">
        <f aca="false">SUMIFS($C53:$N53,$C$6:$N$6,G$6,$C$4:$N$4,"&lt;="&amp;G$4)</f>
        <v>22319.5</v>
      </c>
      <c r="H59" s="25" t="n">
        <f aca="false">SUMIFS($C53:$N53,$C$6:$N$6,H$6,$C$4:$N$4,"&lt;="&amp;H$4)</f>
        <v>26953.5</v>
      </c>
      <c r="I59" s="25" t="n">
        <f aca="false">SUMIFS($C53:$N53,$C$6:$N$6,I$6,$C$4:$N$4,"&lt;="&amp;I$4)</f>
        <v>32182.5</v>
      </c>
      <c r="J59" s="25" t="n">
        <f aca="false">SUMIFS($C53:$N53,$C$6:$N$6,J$6,$C$4:$N$4,"&lt;="&amp;J$4)</f>
        <v>37607.5</v>
      </c>
      <c r="K59" s="25" t="n">
        <f aca="false">SUMIFS($C53:$N53,$C$6:$N$6,K$6,$C$4:$N$4,"&lt;="&amp;K$4)</f>
        <v>43032.5</v>
      </c>
      <c r="L59" s="25" t="n">
        <f aca="false">SUMIFS($C53:$N53,$C$6:$N$6,L$6,$C$4:$N$4,"&lt;="&amp;L$4)</f>
        <v>48888</v>
      </c>
      <c r="M59" s="25" t="n">
        <f aca="false">SUMIFS($C53:$N53,$C$6:$N$6,M$6,$C$4:$N$4,"&lt;="&amp;M$4)</f>
        <v>4634</v>
      </c>
      <c r="N59" s="25" t="n">
        <f aca="false">SUMIFS($C53:$N53,$C$6:$N$6,N$6,$C$4:$N$4,"&lt;="&amp;N$4)</f>
        <v>9268</v>
      </c>
    </row>
    <row r="60" customFormat="false" ht="15" hidden="false" customHeight="true" outlineLevel="0" collapsed="false">
      <c r="A60" s="6" t="s">
        <v>344</v>
      </c>
      <c r="C60" s="42" t="n">
        <f aca="false">IF(FormaOpodatkowania="ryczałt",IF(C59&lt;=RyczProg1,ZdrRycz1,IF(C59&lt;=RyczProg2,ZdrRycz2,ZdrRycz3)),MAX(ZdrMin,ROUND(MAX(0,C58)*IF(FormaOpodatkowania="liniowy",ZdrLin,ZdrSkala),2)))</f>
        <v>498.35</v>
      </c>
      <c r="D60" s="42" t="n">
        <f aca="false">IF(FormaOpodatkowania="ryczałt",IF(D59&lt;=RyczProg1,ZdrRycz1,IF(D59&lt;=RyczProg2,ZdrRycz2,ZdrRycz3)),MAX(ZdrMin,ROUND(MAX(0,D58)*IF(FormaOpodatkowania="liniowy",ZdrLin,ZdrSkala),2)))</f>
        <v>498.35</v>
      </c>
      <c r="E60" s="42" t="n">
        <f aca="false">IF(FormaOpodatkowania="ryczałt",IF(E59&lt;=RyczProg1,ZdrRycz1,IF(E59&lt;=RyczProg2,ZdrRycz2,ZdrRycz3)),MAX(ZdrMin,ROUND(MAX(0,E58)*IF(FormaOpodatkowania="liniowy",ZdrLin,ZdrSkala),2)))</f>
        <v>498.35</v>
      </c>
      <c r="F60" s="42" t="n">
        <f aca="false">IF(FormaOpodatkowania="ryczałt",IF(F59&lt;=RyczProg1,ZdrRycz1,IF(F59&lt;=RyczProg2,ZdrRycz2,ZdrRycz3)),MAX(ZdrMin,ROUND(MAX(0,F58)*IF(FormaOpodatkowania="liniowy",ZdrLin,ZdrSkala),2)))</f>
        <v>498.35</v>
      </c>
      <c r="G60" s="42" t="n">
        <f aca="false">IF(FormaOpodatkowania="ryczałt",IF(G59&lt;=RyczProg1,ZdrRycz1,IF(G59&lt;=RyczProg2,ZdrRycz2,ZdrRycz3)),MAX(ZdrMin,ROUND(MAX(0,G58)*IF(FormaOpodatkowania="liniowy",ZdrLin,ZdrSkala),2)))</f>
        <v>498.35</v>
      </c>
      <c r="H60" s="42" t="n">
        <f aca="false">IF(FormaOpodatkowania="ryczałt",IF(H59&lt;=RyczProg1,ZdrRycz1,IF(H59&lt;=RyczProg2,ZdrRycz2,ZdrRycz3)),MAX(ZdrMin,ROUND(MAX(0,H58)*IF(FormaOpodatkowania="liniowy",ZdrLin,ZdrSkala),2)))</f>
        <v>498.35</v>
      </c>
      <c r="I60" s="42" t="n">
        <f aca="false">IF(FormaOpodatkowania="ryczałt",IF(I59&lt;=RyczProg1,ZdrRycz1,IF(I59&lt;=RyczProg2,ZdrRycz2,ZdrRycz3)),MAX(ZdrMin,ROUND(MAX(0,I58)*IF(FormaOpodatkowania="liniowy",ZdrLin,ZdrSkala),2)))</f>
        <v>498.35</v>
      </c>
      <c r="J60" s="42" t="n">
        <f aca="false">IF(FormaOpodatkowania="ryczałt",IF(J59&lt;=RyczProg1,ZdrRycz1,IF(J59&lt;=RyczProg2,ZdrRycz2,ZdrRycz3)),MAX(ZdrMin,ROUND(MAX(0,J58)*IF(FormaOpodatkowania="liniowy",ZdrLin,ZdrSkala),2)))</f>
        <v>498.35</v>
      </c>
      <c r="K60" s="42" t="n">
        <f aca="false">IF(FormaOpodatkowania="ryczałt",IF(K59&lt;=RyczProg1,ZdrRycz1,IF(K59&lt;=RyczProg2,ZdrRycz2,ZdrRycz3)),MAX(ZdrMin,ROUND(MAX(0,K58)*IF(FormaOpodatkowania="liniowy",ZdrLin,ZdrSkala),2)))</f>
        <v>498.35</v>
      </c>
      <c r="L60" s="42" t="n">
        <f aca="false">IF(FormaOpodatkowania="ryczałt",IF(L59&lt;=RyczProg1,ZdrRycz1,IF(L59&lt;=RyczProg2,ZdrRycz2,ZdrRycz3)),MAX(ZdrMin,ROUND(MAX(0,L58)*IF(FormaOpodatkowania="liniowy",ZdrLin,ZdrSkala),2)))</f>
        <v>498.35</v>
      </c>
      <c r="M60" s="42" t="n">
        <f aca="false">IF(FormaOpodatkowania="ryczałt",IF(M59&lt;=RyczProg1,ZdrRycz1,IF(M59&lt;=RyczProg2,ZdrRycz2,ZdrRycz3)),MAX(ZdrMin,ROUND(MAX(0,M58)*IF(FormaOpodatkowania="liniowy",ZdrLin,ZdrSkala),2)))</f>
        <v>498.35</v>
      </c>
      <c r="N60" s="42" t="n">
        <f aca="false">IF(FormaOpodatkowania="ryczałt",IF(N59&lt;=RyczProg1,ZdrRycz1,IF(N59&lt;=RyczProg2,ZdrRycz2,ZdrRycz3)),MAX(ZdrMin,ROUND(MAX(0,N58)*IF(FormaOpodatkowania="liniowy",ZdrLin,ZdrSkala),2)))</f>
        <v>498.35</v>
      </c>
      <c r="O60" s="25" t="n">
        <f aca="false">SUM(C60:N60)</f>
        <v>5980.2</v>
      </c>
    </row>
    <row r="61" customFormat="false" ht="15" hidden="false" customHeight="true" outlineLevel="0" collapsed="false">
      <c r="A61" s="6" t="s">
        <v>345</v>
      </c>
      <c r="C61" s="25" t="n">
        <f aca="false">SUMIFS($C60:$N60,$C$6:$N$6,C$6,$C$4:$N$4,"&lt;="&amp;C$4)</f>
        <v>498.35</v>
      </c>
      <c r="D61" s="25" t="n">
        <f aca="false">SUMIFS($C60:$N60,$C$6:$N$6,D$6,$C$4:$N$4,"&lt;="&amp;D$4)</f>
        <v>996.7</v>
      </c>
      <c r="E61" s="25" t="n">
        <f aca="false">SUMIFS($C60:$N60,$C$6:$N$6,E$6,$C$4:$N$4,"&lt;="&amp;E$4)</f>
        <v>1495.05</v>
      </c>
      <c r="F61" s="25" t="n">
        <f aca="false">SUMIFS($C60:$N60,$C$6:$N$6,F$6,$C$4:$N$4,"&lt;="&amp;F$4)</f>
        <v>1993.4</v>
      </c>
      <c r="G61" s="25" t="n">
        <f aca="false">SUMIFS($C60:$N60,$C$6:$N$6,G$6,$C$4:$N$4,"&lt;="&amp;G$4)</f>
        <v>2491.75</v>
      </c>
      <c r="H61" s="25" t="n">
        <f aca="false">SUMIFS($C60:$N60,$C$6:$N$6,H$6,$C$4:$N$4,"&lt;="&amp;H$4)</f>
        <v>2990.1</v>
      </c>
      <c r="I61" s="25" t="n">
        <f aca="false">SUMIFS($C60:$N60,$C$6:$N$6,I$6,$C$4:$N$4,"&lt;="&amp;I$4)</f>
        <v>3488.45</v>
      </c>
      <c r="J61" s="25" t="n">
        <f aca="false">SUMIFS($C60:$N60,$C$6:$N$6,J$6,$C$4:$N$4,"&lt;="&amp;J$4)</f>
        <v>3986.8</v>
      </c>
      <c r="K61" s="25" t="n">
        <f aca="false">SUMIFS($C60:$N60,$C$6:$N$6,K$6,$C$4:$N$4,"&lt;="&amp;K$4)</f>
        <v>4485.15</v>
      </c>
      <c r="L61" s="25" t="n">
        <f aca="false">SUMIFS($C60:$N60,$C$6:$N$6,L$6,$C$4:$N$4,"&lt;="&amp;L$4)</f>
        <v>4983.5</v>
      </c>
      <c r="M61" s="25" t="n">
        <f aca="false">SUMIFS($C60:$N60,$C$6:$N$6,M$6,$C$4:$N$4,"&lt;="&amp;M$4)</f>
        <v>498.35</v>
      </c>
      <c r="N61" s="25" t="n">
        <f aca="false">SUMIFS($C60:$N60,$C$6:$N$6,N$6,$C$4:$N$4,"&lt;="&amp;N$4)</f>
        <v>996.7</v>
      </c>
    </row>
    <row r="62" customFormat="false" ht="15" hidden="false" customHeight="true" outlineLevel="0" collapsed="false">
      <c r="A62" s="6" t="s">
        <v>346</v>
      </c>
      <c r="C62" s="42" t="n">
        <f aca="false">IF(FormaOpodatkowania="liniowy",MIN(C61,LimitZdrLin)-MIN(C61-C60,LimitZdrLin),IF(FormaOpodatkowania="ryczałt",ROUND(C60*RyczOdlicz,2),0))</f>
        <v>249.18</v>
      </c>
      <c r="D62" s="42" t="n">
        <f aca="false">IF(FormaOpodatkowania="liniowy",MIN(D61,LimitZdrLin)-MIN(D61-D60,LimitZdrLin),IF(FormaOpodatkowania="ryczałt",ROUND(D60*RyczOdlicz,2),0))</f>
        <v>249.18</v>
      </c>
      <c r="E62" s="42" t="n">
        <f aca="false">IF(FormaOpodatkowania="liniowy",MIN(E61,LimitZdrLin)-MIN(E61-E60,LimitZdrLin),IF(FormaOpodatkowania="ryczałt",ROUND(E60*RyczOdlicz,2),0))</f>
        <v>249.18</v>
      </c>
      <c r="F62" s="42" t="n">
        <f aca="false">IF(FormaOpodatkowania="liniowy",MIN(F61,LimitZdrLin)-MIN(F61-F60,LimitZdrLin),IF(FormaOpodatkowania="ryczałt",ROUND(F60*RyczOdlicz,2),0))</f>
        <v>249.18</v>
      </c>
      <c r="G62" s="42" t="n">
        <f aca="false">IF(FormaOpodatkowania="liniowy",MIN(G61,LimitZdrLin)-MIN(G61-G60,LimitZdrLin),IF(FormaOpodatkowania="ryczałt",ROUND(G60*RyczOdlicz,2),0))</f>
        <v>249.18</v>
      </c>
      <c r="H62" s="42" t="n">
        <f aca="false">IF(FormaOpodatkowania="liniowy",MIN(H61,LimitZdrLin)-MIN(H61-H60,LimitZdrLin),IF(FormaOpodatkowania="ryczałt",ROUND(H60*RyczOdlicz,2),0))</f>
        <v>249.18</v>
      </c>
      <c r="I62" s="42" t="n">
        <f aca="false">IF(FormaOpodatkowania="liniowy",MIN(I61,LimitZdrLin)-MIN(I61-I60,LimitZdrLin),IF(FormaOpodatkowania="ryczałt",ROUND(I60*RyczOdlicz,2),0))</f>
        <v>249.18</v>
      </c>
      <c r="J62" s="42" t="n">
        <f aca="false">IF(FormaOpodatkowania="liniowy",MIN(J61,LimitZdrLin)-MIN(J61-J60,LimitZdrLin),IF(FormaOpodatkowania="ryczałt",ROUND(J60*RyczOdlicz,2),0))</f>
        <v>249.18</v>
      </c>
      <c r="K62" s="42" t="n">
        <f aca="false">IF(FormaOpodatkowania="liniowy",MIN(K61,LimitZdrLin)-MIN(K61-K60,LimitZdrLin),IF(FormaOpodatkowania="ryczałt",ROUND(K60*RyczOdlicz,2),0))</f>
        <v>249.18</v>
      </c>
      <c r="L62" s="42" t="n">
        <f aca="false">IF(FormaOpodatkowania="liniowy",MIN(L61,LimitZdrLin)-MIN(L61-L60,LimitZdrLin),IF(FormaOpodatkowania="ryczałt",ROUND(L60*RyczOdlicz,2),0))</f>
        <v>249.18</v>
      </c>
      <c r="M62" s="42" t="n">
        <f aca="false">IF(FormaOpodatkowania="liniowy",MIN(M61,LimitZdrLin)-MIN(M61-M60,LimitZdrLin),IF(FormaOpodatkowania="ryczałt",ROUND(M60*RyczOdlicz,2),0))</f>
        <v>249.18</v>
      </c>
      <c r="N62" s="42" t="n">
        <f aca="false">IF(FormaOpodatkowania="liniowy",MIN(N61,LimitZdrLin)-MIN(N61-N60,LimitZdrLin),IF(FormaOpodatkowania="ryczałt",ROUND(N60*RyczOdlicz,2),0))</f>
        <v>249.18</v>
      </c>
      <c r="O62" s="25" t="n">
        <f aca="false">SUM(C62:N62)</f>
        <v>2990.16</v>
      </c>
    </row>
    <row r="63" customFormat="false" ht="15" hidden="false" customHeight="true" outlineLevel="0" collapsed="false">
      <c r="A63" s="6" t="s">
        <v>347</v>
      </c>
      <c r="C63" s="42" t="n">
        <f aca="false">IF(FormaOpodatkowania="ryczałt",C53-C57-C62,C53-C56-C57-C62)</f>
        <v>2806.32</v>
      </c>
      <c r="D63" s="42" t="n">
        <f aca="false">IF(FormaOpodatkowania="ryczałt",D53-D57-D62,D53-D56-D57-D62)</f>
        <v>4353.32</v>
      </c>
      <c r="E63" s="42" t="n">
        <f aca="false">IF(FormaOpodatkowania="ryczałt",E53-E57-E62,E53-E56-E57-E62)</f>
        <v>4549.32</v>
      </c>
      <c r="F63" s="42" t="n">
        <f aca="false">IF(FormaOpodatkowania="ryczałt",F53-F57-F62,F53-F56-F57-F62)</f>
        <v>4979.82</v>
      </c>
      <c r="G63" s="42" t="n">
        <f aca="false">IF(FormaOpodatkowania="ryczałt",G53-G57-G62,G53-G56-G57-G62)</f>
        <v>4384.82</v>
      </c>
      <c r="H63" s="42" t="n">
        <f aca="false">IF(FormaOpodatkowania="ryczałt",H53-H57-H62,H53-H56-H57-H62)</f>
        <v>4384.82</v>
      </c>
      <c r="I63" s="42" t="n">
        <f aca="false">IF(FormaOpodatkowania="ryczałt",I53-I57-I62,I53-I56-I57-I62)</f>
        <v>4523.64</v>
      </c>
      <c r="J63" s="42" t="n">
        <f aca="false">IF(FormaOpodatkowania="ryczałt",J53-J57-J62,J53-J56-J57-J62)</f>
        <v>4719.64</v>
      </c>
      <c r="K63" s="42" t="n">
        <f aca="false">IF(FormaOpodatkowania="ryczałt",K53-K57-K62,K53-K56-K57-K62)</f>
        <v>4719.64</v>
      </c>
      <c r="L63" s="42" t="n">
        <f aca="false">IF(FormaOpodatkowania="ryczałt",L53-L57-L62,L53-L56-L57-L62)</f>
        <v>5150.14</v>
      </c>
      <c r="M63" s="42" t="n">
        <f aca="false">IF(FormaOpodatkowania="ryczałt",M53-M57-M62,M53-M56-M57-M62)</f>
        <v>3928.64</v>
      </c>
      <c r="N63" s="42" t="n">
        <f aca="false">IF(FormaOpodatkowania="ryczałt",N53-N57-N62,N53-N56-N57-N62)</f>
        <v>3928.64</v>
      </c>
      <c r="O63" s="25" t="n">
        <f aca="false">SUM(C63:N63)</f>
        <v>52428.76</v>
      </c>
    </row>
    <row r="64" customFormat="false" ht="15" hidden="false" customHeight="true" outlineLevel="0" collapsed="false">
      <c r="A64" s="6" t="s">
        <v>348</v>
      </c>
      <c r="C64" s="25" t="n">
        <f aca="false">SUMIFS($C63:$N63,$C$6:$N$6,C$6,$C$4:$N$4,"&lt;="&amp;C$4)</f>
        <v>2806.32</v>
      </c>
      <c r="D64" s="25" t="n">
        <f aca="false">SUMIFS($C63:$N63,$C$6:$N$6,D$6,$C$4:$N$4,"&lt;="&amp;D$4)</f>
        <v>7159.64</v>
      </c>
      <c r="E64" s="25" t="n">
        <f aca="false">SUMIFS($C63:$N63,$C$6:$N$6,E$6,$C$4:$N$4,"&lt;="&amp;E$4)</f>
        <v>11708.96</v>
      </c>
      <c r="F64" s="25" t="n">
        <f aca="false">SUMIFS($C63:$N63,$C$6:$N$6,F$6,$C$4:$N$4,"&lt;="&amp;F$4)</f>
        <v>16688.78</v>
      </c>
      <c r="G64" s="25" t="n">
        <f aca="false">SUMIFS($C63:$N63,$C$6:$N$6,G$6,$C$4:$N$4,"&lt;="&amp;G$4)</f>
        <v>21073.6</v>
      </c>
      <c r="H64" s="25" t="n">
        <f aca="false">SUMIFS($C63:$N63,$C$6:$N$6,H$6,$C$4:$N$4,"&lt;="&amp;H$4)</f>
        <v>25458.42</v>
      </c>
      <c r="I64" s="25" t="n">
        <f aca="false">SUMIFS($C63:$N63,$C$6:$N$6,I$6,$C$4:$N$4,"&lt;="&amp;I$4)</f>
        <v>29982.06</v>
      </c>
      <c r="J64" s="25" t="n">
        <f aca="false">SUMIFS($C63:$N63,$C$6:$N$6,J$6,$C$4:$N$4,"&lt;="&amp;J$4)</f>
        <v>34701.7</v>
      </c>
      <c r="K64" s="25" t="n">
        <f aca="false">SUMIFS($C63:$N63,$C$6:$N$6,K$6,$C$4:$N$4,"&lt;="&amp;K$4)</f>
        <v>39421.34</v>
      </c>
      <c r="L64" s="25" t="n">
        <f aca="false">SUMIFS($C63:$N63,$C$6:$N$6,L$6,$C$4:$N$4,"&lt;="&amp;L$4)</f>
        <v>44571.48</v>
      </c>
      <c r="M64" s="25" t="n">
        <f aca="false">SUMIFS($C63:$N63,$C$6:$N$6,M$6,$C$4:$N$4,"&lt;="&amp;M$4)</f>
        <v>3928.64</v>
      </c>
      <c r="N64" s="25" t="n">
        <f aca="false">SUMIFS($C63:$N63,$C$6:$N$6,N$6,$C$4:$N$4,"&lt;="&amp;N$4)</f>
        <v>7857.28</v>
      </c>
    </row>
    <row r="65" customFormat="false" ht="15" hidden="false" customHeight="true" outlineLevel="0" collapsed="false">
      <c r="A65" s="6" t="s">
        <v>349</v>
      </c>
      <c r="C65" s="42" t="n">
        <f aca="false">ROUND(IF(FormaOpodatkowania="ryczałt",MAX(0,C64)*StawkaRyczaltu,IF(FormaOpodatkowania="liniowy",MAX(0,C64)*StLiniowy,IF(C64&lt;=ProgPod,MAX(0,C64*Stawka1-KwotaZmn),ProgPod*Stawka1-KwotaZmn+(C64-ProgPod)*Stawka2))),0)</f>
        <v>239</v>
      </c>
      <c r="D65" s="42" t="n">
        <f aca="false">ROUND(IF(FormaOpodatkowania="ryczałt",MAX(0,D64)*StawkaRyczaltu,IF(FormaOpodatkowania="liniowy",MAX(0,D64)*StLiniowy,IF(D64&lt;=ProgPod,MAX(0,D64*Stawka1-KwotaZmn),ProgPod*Stawka1-KwotaZmn+(D64-ProgPod)*Stawka2))),0)</f>
        <v>609</v>
      </c>
      <c r="E65" s="42" t="n">
        <f aca="false">ROUND(IF(FormaOpodatkowania="ryczałt",MAX(0,E64)*StawkaRyczaltu,IF(FormaOpodatkowania="liniowy",MAX(0,E64)*StLiniowy,IF(E64&lt;=ProgPod,MAX(0,E64*Stawka1-KwotaZmn),ProgPod*Stawka1-KwotaZmn+(E64-ProgPod)*Stawka2))),0)</f>
        <v>995</v>
      </c>
      <c r="F65" s="42" t="n">
        <f aca="false">ROUND(IF(FormaOpodatkowania="ryczałt",MAX(0,F64)*StawkaRyczaltu,IF(FormaOpodatkowania="liniowy",MAX(0,F64)*StLiniowy,IF(F64&lt;=ProgPod,MAX(0,F64*Stawka1-KwotaZmn),ProgPod*Stawka1-KwotaZmn+(F64-ProgPod)*Stawka2))),0)</f>
        <v>1419</v>
      </c>
      <c r="G65" s="42" t="n">
        <f aca="false">ROUND(IF(FormaOpodatkowania="ryczałt",MAX(0,G64)*StawkaRyczaltu,IF(FormaOpodatkowania="liniowy",MAX(0,G64)*StLiniowy,IF(G64&lt;=ProgPod,MAX(0,G64*Stawka1-KwotaZmn),ProgPod*Stawka1-KwotaZmn+(G64-ProgPod)*Stawka2))),0)</f>
        <v>1791</v>
      </c>
      <c r="H65" s="42" t="n">
        <f aca="false">ROUND(IF(FormaOpodatkowania="ryczałt",MAX(0,H64)*StawkaRyczaltu,IF(FormaOpodatkowania="liniowy",MAX(0,H64)*StLiniowy,IF(H64&lt;=ProgPod,MAX(0,H64*Stawka1-KwotaZmn),ProgPod*Stawka1-KwotaZmn+(H64-ProgPod)*Stawka2))),0)</f>
        <v>2164</v>
      </c>
      <c r="I65" s="42" t="n">
        <f aca="false">ROUND(IF(FormaOpodatkowania="ryczałt",MAX(0,I64)*StawkaRyczaltu,IF(FormaOpodatkowania="liniowy",MAX(0,I64)*StLiniowy,IF(I64&lt;=ProgPod,MAX(0,I64*Stawka1-KwotaZmn),ProgPod*Stawka1-KwotaZmn+(I64-ProgPod)*Stawka2))),0)</f>
        <v>2548</v>
      </c>
      <c r="J65" s="42" t="n">
        <f aca="false">ROUND(IF(FormaOpodatkowania="ryczałt",MAX(0,J64)*StawkaRyczaltu,IF(FormaOpodatkowania="liniowy",MAX(0,J64)*StLiniowy,IF(J64&lt;=ProgPod,MAX(0,J64*Stawka1-KwotaZmn),ProgPod*Stawka1-KwotaZmn+(J64-ProgPod)*Stawka2))),0)</f>
        <v>2950</v>
      </c>
      <c r="K65" s="42" t="n">
        <f aca="false">ROUND(IF(FormaOpodatkowania="ryczałt",MAX(0,K64)*StawkaRyczaltu,IF(FormaOpodatkowania="liniowy",MAX(0,K64)*StLiniowy,IF(K64&lt;=ProgPod,MAX(0,K64*Stawka1-KwotaZmn),ProgPod*Stawka1-KwotaZmn+(K64-ProgPod)*Stawka2))),0)</f>
        <v>3351</v>
      </c>
      <c r="L65" s="42" t="n">
        <f aca="false">ROUND(IF(FormaOpodatkowania="ryczałt",MAX(0,L64)*StawkaRyczaltu,IF(FormaOpodatkowania="liniowy",MAX(0,L64)*StLiniowy,IF(L64&lt;=ProgPod,MAX(0,L64*Stawka1-KwotaZmn),ProgPod*Stawka1-KwotaZmn+(L64-ProgPod)*Stawka2))),0)</f>
        <v>3789</v>
      </c>
      <c r="M65" s="42" t="n">
        <f aca="false">ROUND(IF(FormaOpodatkowania="ryczałt",MAX(0,M64)*StawkaRyczaltu,IF(FormaOpodatkowania="liniowy",MAX(0,M64)*StLiniowy,IF(M64&lt;=ProgPod,MAX(0,M64*Stawka1-KwotaZmn),ProgPod*Stawka1-KwotaZmn+(M64-ProgPod)*Stawka2))),0)</f>
        <v>334</v>
      </c>
      <c r="N65" s="42" t="n">
        <f aca="false">ROUND(IF(FormaOpodatkowania="ryczałt",MAX(0,N64)*StawkaRyczaltu,IF(FormaOpodatkowania="liniowy",MAX(0,N64)*StLiniowy,IF(N64&lt;=ProgPod,MAX(0,N64*Stawka1-KwotaZmn),ProgPod*Stawka1-KwotaZmn+(N64-ProgPod)*Stawka2))),0)</f>
        <v>668</v>
      </c>
    </row>
    <row r="66" customFormat="false" ht="15" hidden="false" customHeight="true" outlineLevel="0" collapsed="false">
      <c r="A66" s="6" t="s">
        <v>350</v>
      </c>
      <c r="C66" s="25" t="n">
        <f aca="false">C65</f>
        <v>239</v>
      </c>
      <c r="D66" s="25" t="n">
        <f aca="false">IF(D$6=C$6,MAX(D65,C66),D65)</f>
        <v>609</v>
      </c>
      <c r="E66" s="25" t="n">
        <f aca="false">IF(E$6=D$6,MAX(E65,D66),E65)</f>
        <v>995</v>
      </c>
      <c r="F66" s="25" t="n">
        <f aca="false">IF(F$6=E$6,MAX(F65,E66),F65)</f>
        <v>1419</v>
      </c>
      <c r="G66" s="25" t="n">
        <f aca="false">IF(G$6=F$6,MAX(G65,F66),G65)</f>
        <v>1791</v>
      </c>
      <c r="H66" s="25" t="n">
        <f aca="false">IF(H$6=G$6,MAX(H65,G66),H65)</f>
        <v>2164</v>
      </c>
      <c r="I66" s="25" t="n">
        <f aca="false">IF(I$6=H$6,MAX(I65,H66),I65)</f>
        <v>2548</v>
      </c>
      <c r="J66" s="25" t="n">
        <f aca="false">IF(J$6=I$6,MAX(J65,I66),J65)</f>
        <v>2950</v>
      </c>
      <c r="K66" s="25" t="n">
        <f aca="false">IF(K$6=J$6,MAX(K65,J66),K65)</f>
        <v>3351</v>
      </c>
      <c r="L66" s="25" t="n">
        <f aca="false">IF(L$6=K$6,MAX(L65,K66),L65)</f>
        <v>3789</v>
      </c>
      <c r="M66" s="25" t="n">
        <f aca="false">IF(M$6=L$6,MAX(M65,L66),M65)</f>
        <v>334</v>
      </c>
      <c r="N66" s="25" t="n">
        <f aca="false">IF(N$6=M$6,MAX(N65,M66),N65)</f>
        <v>668</v>
      </c>
    </row>
    <row r="67" customFormat="false" ht="15" hidden="false" customHeight="true" outlineLevel="0" collapsed="false">
      <c r="A67" s="6" t="s">
        <v>351</v>
      </c>
      <c r="C67" s="25" t="n">
        <f aca="false">C66</f>
        <v>239</v>
      </c>
      <c r="D67" s="25" t="n">
        <f aca="false">IF(D$6=C$6,D66-C66,D66)</f>
        <v>370</v>
      </c>
      <c r="E67" s="25" t="n">
        <f aca="false">IF(E$6=D$6,E66-D66,E66)</f>
        <v>386</v>
      </c>
      <c r="F67" s="25" t="n">
        <f aca="false">IF(F$6=E$6,F66-E66,F66)</f>
        <v>424</v>
      </c>
      <c r="G67" s="25" t="n">
        <f aca="false">IF(G$6=F$6,G66-F66,G66)</f>
        <v>372</v>
      </c>
      <c r="H67" s="25" t="n">
        <f aca="false">IF(H$6=G$6,H66-G66,H66)</f>
        <v>373</v>
      </c>
      <c r="I67" s="25" t="n">
        <f aca="false">IF(I$6=H$6,I66-H66,I66)</f>
        <v>384</v>
      </c>
      <c r="J67" s="25" t="n">
        <f aca="false">IF(J$6=I$6,J66-I66,J66)</f>
        <v>402</v>
      </c>
      <c r="K67" s="25" t="n">
        <f aca="false">IF(K$6=J$6,K66-J66,K66)</f>
        <v>401</v>
      </c>
      <c r="L67" s="25" t="n">
        <f aca="false">IF(L$6=K$6,L66-K66,L66)</f>
        <v>438</v>
      </c>
      <c r="M67" s="25" t="n">
        <f aca="false">IF(M$6=L$6,M66-L66,M66)</f>
        <v>334</v>
      </c>
      <c r="N67" s="25" t="n">
        <f aca="false">IF(N$6=M$6,N66-M66,N66)</f>
        <v>334</v>
      </c>
      <c r="O67" s="25" t="n">
        <f aca="false">SUM(C67:N67)</f>
        <v>4457</v>
      </c>
    </row>
    <row r="68" customFormat="false" ht="15" hidden="false" customHeight="true" outlineLevel="0" collapsed="false">
      <c r="A68" s="40" t="s">
        <v>352</v>
      </c>
      <c r="B68" s="40"/>
      <c r="C68" s="41" t="n">
        <f aca="false">C56+C57+C60</f>
        <v>1632.24</v>
      </c>
      <c r="D68" s="41" t="n">
        <f aca="false">D56+D57+D60</f>
        <v>1740.53</v>
      </c>
      <c r="E68" s="41" t="n">
        <f aca="false">E56+E57+E60</f>
        <v>1754.25</v>
      </c>
      <c r="F68" s="41" t="n">
        <f aca="false">F56+F57+F60</f>
        <v>1784.38</v>
      </c>
      <c r="G68" s="41" t="n">
        <f aca="false">G56+G57+G60</f>
        <v>1742.73</v>
      </c>
      <c r="H68" s="41" t="n">
        <f aca="false">H56+H57+H60</f>
        <v>1742.73</v>
      </c>
      <c r="I68" s="41" t="n">
        <f aca="false">I56+I57+I60</f>
        <v>2240.56</v>
      </c>
      <c r="J68" s="41" t="n">
        <f aca="false">J56+J57+J60</f>
        <v>2254.28</v>
      </c>
      <c r="K68" s="41" t="n">
        <f aca="false">K56+K57+K60</f>
        <v>2254.28</v>
      </c>
      <c r="L68" s="41" t="n">
        <f aca="false">L56+L57+L60</f>
        <v>2284.42</v>
      </c>
      <c r="M68" s="41" t="n">
        <f aca="false">M56+M57+M60</f>
        <v>2198.91</v>
      </c>
      <c r="N68" s="41" t="n">
        <f aca="false">N56+N57+N60</f>
        <v>2198.91</v>
      </c>
      <c r="O68" s="41" t="n">
        <f aca="false">SUM(C68:N68)</f>
        <v>23828.22</v>
      </c>
    </row>
    <row r="69" customFormat="false" ht="15" hidden="false" customHeight="true" outlineLevel="0" collapsed="false">
      <c r="A69" s="40" t="s">
        <v>353</v>
      </c>
      <c r="B69" s="40"/>
      <c r="C69" s="41" t="n">
        <f aca="false">C53-C68</f>
        <v>1423.26</v>
      </c>
      <c r="D69" s="41" t="n">
        <f aca="false">D53-D68</f>
        <v>2861.97</v>
      </c>
      <c r="E69" s="41" t="n">
        <f aca="false">E53-E68</f>
        <v>3044.25</v>
      </c>
      <c r="F69" s="41" t="n">
        <f aca="false">F53-F68</f>
        <v>3444.62</v>
      </c>
      <c r="G69" s="41" t="n">
        <f aca="false">G53-G68</f>
        <v>2891.27</v>
      </c>
      <c r="H69" s="41" t="n">
        <f aca="false">H53-H68</f>
        <v>2891.27</v>
      </c>
      <c r="I69" s="41" t="n">
        <f aca="false">I53-I68</f>
        <v>2988.44</v>
      </c>
      <c r="J69" s="41" t="n">
        <f aca="false">J53-J68</f>
        <v>3170.72</v>
      </c>
      <c r="K69" s="41" t="n">
        <f aca="false">K53-K68</f>
        <v>3170.72</v>
      </c>
      <c r="L69" s="41" t="n">
        <f aca="false">L53-L68</f>
        <v>3571.08</v>
      </c>
      <c r="M69" s="41" t="n">
        <f aca="false">M53-M68</f>
        <v>2435.09</v>
      </c>
      <c r="N69" s="41" t="n">
        <f aca="false">N53-N68</f>
        <v>2435.09</v>
      </c>
      <c r="O69" s="41" t="n">
        <f aca="false">SUM(C69:N69)</f>
        <v>34327.78</v>
      </c>
    </row>
    <row r="70" customFormat="false" ht="15" hidden="false" customHeight="true" outlineLevel="0" collapsed="false">
      <c r="A70" s="40" t="s">
        <v>354</v>
      </c>
      <c r="B70" s="40"/>
      <c r="C70" s="41" t="n">
        <f aca="false">C69-C67</f>
        <v>1184.26</v>
      </c>
      <c r="D70" s="41" t="n">
        <f aca="false">D69-D67</f>
        <v>2491.97</v>
      </c>
      <c r="E70" s="41" t="n">
        <f aca="false">E69-E67</f>
        <v>2658.25</v>
      </c>
      <c r="F70" s="41" t="n">
        <f aca="false">F69-F67</f>
        <v>3020.62</v>
      </c>
      <c r="G70" s="41" t="n">
        <f aca="false">G69-G67</f>
        <v>2519.27</v>
      </c>
      <c r="H70" s="41" t="n">
        <f aca="false">H69-H67</f>
        <v>2518.27</v>
      </c>
      <c r="I70" s="41" t="n">
        <f aca="false">I69-I67</f>
        <v>2604.44</v>
      </c>
      <c r="J70" s="41" t="n">
        <f aca="false">J69-J67</f>
        <v>2768.72</v>
      </c>
      <c r="K70" s="41" t="n">
        <f aca="false">K69-K67</f>
        <v>2769.72</v>
      </c>
      <c r="L70" s="41" t="n">
        <f aca="false">L69-L67</f>
        <v>3133.08</v>
      </c>
      <c r="M70" s="41" t="n">
        <f aca="false">M69-M67</f>
        <v>2101.09</v>
      </c>
      <c r="N70" s="41" t="n">
        <f aca="false">N69-N67</f>
        <v>2101.09</v>
      </c>
      <c r="O70" s="41" t="n">
        <f aca="false">SUM(C70:N70)</f>
        <v>29870.78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11" min="3" style="1" width="14"/>
    <col collapsed="false" customWidth="true" hidden="false" outlineLevel="0" max="12" min="12" style="1" width="2"/>
    <col collapsed="false" customWidth="true" hidden="false" outlineLevel="0" max="19" min="13" style="1" width="14"/>
  </cols>
  <sheetData>
    <row r="1" customFormat="false" ht="17.25" hidden="false" customHeight="true" outlineLevel="0" collapsed="false">
      <c r="A1" s="2" t="s">
        <v>356</v>
      </c>
    </row>
    <row r="2" customFormat="false" ht="15" hidden="false" customHeight="true" outlineLevel="0" collapsed="false">
      <c r="A2" s="3" t="s">
        <v>357</v>
      </c>
    </row>
    <row r="3" customFormat="false" ht="15" hidden="false" customHeight="true" outlineLevel="0" collapsed="false">
      <c r="C3" s="59" t="s">
        <v>358</v>
      </c>
      <c r="D3" s="59"/>
      <c r="E3" s="59"/>
      <c r="F3" s="59"/>
      <c r="G3" s="59"/>
      <c r="H3" s="59"/>
      <c r="I3" s="59"/>
      <c r="J3" s="59"/>
      <c r="K3" s="59"/>
      <c r="M3" s="60" t="str">
        <f aca="false">"SCENARIUSZ PESYMISTYCZNY (przychody −"&amp;TEXT(SpadekPesym,"0%")&amp;")"</f>
        <v>SCENARIUSZ PESYMISTYCZNY (przychody −30%)</v>
      </c>
      <c r="N3" s="60"/>
      <c r="O3" s="60"/>
      <c r="P3" s="60"/>
      <c r="Q3" s="60"/>
      <c r="R3" s="60"/>
      <c r="S3" s="60"/>
    </row>
    <row r="4" customFormat="false" ht="48" hidden="false" customHeight="true" outlineLevel="0" collapsed="false">
      <c r="A4" s="4" t="s">
        <v>359</v>
      </c>
      <c r="B4" s="4" t="s">
        <v>360</v>
      </c>
      <c r="C4" s="4" t="s">
        <v>361</v>
      </c>
      <c r="D4" s="4" t="s">
        <v>362</v>
      </c>
      <c r="E4" s="4" t="s">
        <v>363</v>
      </c>
      <c r="F4" s="4" t="s">
        <v>364</v>
      </c>
      <c r="G4" s="4" t="s">
        <v>365</v>
      </c>
      <c r="H4" s="4" t="s">
        <v>366</v>
      </c>
      <c r="I4" s="4" t="s">
        <v>367</v>
      </c>
      <c r="J4" s="4" t="s">
        <v>368</v>
      </c>
      <c r="K4" s="4" t="s">
        <v>369</v>
      </c>
      <c r="L4" s="61"/>
      <c r="M4" s="4" t="s">
        <v>361</v>
      </c>
      <c r="N4" s="4" t="s">
        <v>365</v>
      </c>
      <c r="O4" s="4" t="s">
        <v>366</v>
      </c>
      <c r="P4" s="4" t="s">
        <v>367</v>
      </c>
      <c r="Q4" s="4" t="s">
        <v>368</v>
      </c>
      <c r="R4" s="4" t="s">
        <v>369</v>
      </c>
      <c r="S4" s="4" t="s">
        <v>370</v>
      </c>
    </row>
    <row r="5" customFormat="false" ht="15" hidden="false" customHeight="true" outlineLevel="0" collapsed="false">
      <c r="A5" s="62" t="n">
        <v>0</v>
      </c>
      <c r="B5" s="63" t="n">
        <f aca="false">DataStartu</f>
        <v>46447</v>
      </c>
      <c r="C5" s="3" t="s">
        <v>371</v>
      </c>
      <c r="K5" s="42" t="n">
        <f aca="false">Dotacja+WkladWlasny-KosztorysRazem</f>
        <v>2649.5</v>
      </c>
      <c r="R5" s="42" t="n">
        <f aca="false">Dotacja+WkladWlasny-KosztorysRazem</f>
        <v>2649.5</v>
      </c>
    </row>
    <row r="6" customFormat="false" ht="15" hidden="false" customHeight="true" outlineLevel="0" collapsed="false">
      <c r="A6" s="62" t="n">
        <v>1</v>
      </c>
      <c r="B6" s="63" t="n">
        <f aca="false">EDATE(DataStartu,$A6-1)</f>
        <v>46447</v>
      </c>
      <c r="C6" s="42" t="n">
        <f aca="false">INDEX(Koszty!$C$33:$N$33,$A6)</f>
        <v>4365</v>
      </c>
      <c r="D6" s="42" t="n">
        <f aca="false">INDEX(Koszty!$C$36:$N$36,$A6)</f>
        <v>1225.55</v>
      </c>
      <c r="E6" s="42" t="n">
        <f aca="false">INDEX(Koszty!$C$37:$N$37,$A6)</f>
        <v>0</v>
      </c>
      <c r="F6" s="42" t="n">
        <f aca="false">INDEX(Koszty!$C$40:$N$40,$A6)</f>
        <v>498.35</v>
      </c>
      <c r="G6" s="25" t="n">
        <f aca="false">D6+E6+F6</f>
        <v>1723.9</v>
      </c>
      <c r="H6" s="25" t="n">
        <f aca="false">C6-G6</f>
        <v>2641.1</v>
      </c>
      <c r="I6" s="42" t="n">
        <f aca="false">INDEX(Koszty!$C$47:$N$47,$A6)</f>
        <v>350</v>
      </c>
      <c r="J6" s="25" t="n">
        <f aca="false">H6-I6</f>
        <v>2291.1</v>
      </c>
      <c r="K6" s="25" t="n">
        <f aca="false">K5+J6</f>
        <v>4940.6</v>
      </c>
      <c r="M6" s="42" t="n">
        <f aca="false">INDEX(Koszty!$C$53:$N$53,$A6)</f>
        <v>3055.5</v>
      </c>
      <c r="N6" s="42" t="n">
        <f aca="false">INDEX(Koszty!$C$68:$N$68,$A6)</f>
        <v>1632.24</v>
      </c>
      <c r="O6" s="25" t="n">
        <f aca="false">M6-N6</f>
        <v>1423.26</v>
      </c>
      <c r="P6" s="42" t="n">
        <f aca="false">INDEX(Koszty!$C$67:$N$67,$A6)</f>
        <v>239</v>
      </c>
      <c r="Q6" s="25" t="n">
        <f aca="false">O6-P6</f>
        <v>1184.26</v>
      </c>
      <c r="R6" s="25" t="n">
        <f aca="false">R5+Q6</f>
        <v>3833.76</v>
      </c>
      <c r="S6" s="58" t="n">
        <f aca="false">IF(J6&gt;0,1,0)</f>
        <v>1</v>
      </c>
    </row>
    <row r="7" customFormat="false" ht="15" hidden="false" customHeight="true" outlineLevel="0" collapsed="false">
      <c r="A7" s="62" t="n">
        <v>2</v>
      </c>
      <c r="B7" s="63" t="n">
        <f aca="false">EDATE(DataStartu,$A7-1)</f>
        <v>46478</v>
      </c>
      <c r="C7" s="42" t="n">
        <f aca="false">INDEX(Koszty!$C$33:$N$33,$A7)</f>
        <v>6575</v>
      </c>
      <c r="D7" s="42" t="n">
        <f aca="false">INDEX(Koszty!$C$36:$N$36,$A7)</f>
        <v>1380.25</v>
      </c>
      <c r="E7" s="42" t="n">
        <f aca="false">INDEX(Koszty!$C$37:$N$37,$A7)</f>
        <v>0</v>
      </c>
      <c r="F7" s="42" t="n">
        <f aca="false">INDEX(Koszty!$C$40:$N$40,$A7)</f>
        <v>498.35</v>
      </c>
      <c r="G7" s="25" t="n">
        <f aca="false">D7+E7+F7</f>
        <v>1878.6</v>
      </c>
      <c r="H7" s="25" t="n">
        <f aca="false">C7-G7</f>
        <v>4696.4</v>
      </c>
      <c r="I7" s="42" t="n">
        <f aca="false">INDEX(Koszty!$C$47:$N$47,$A7)</f>
        <v>538</v>
      </c>
      <c r="J7" s="25" t="n">
        <f aca="false">H7-I7</f>
        <v>4158.4</v>
      </c>
      <c r="K7" s="25" t="n">
        <f aca="false">K6+J7</f>
        <v>9099</v>
      </c>
      <c r="M7" s="42" t="n">
        <f aca="false">INDEX(Koszty!$C$53:$N$53,$A7)</f>
        <v>4602.5</v>
      </c>
      <c r="N7" s="42" t="n">
        <f aca="false">INDEX(Koszty!$C$68:$N$68,$A7)</f>
        <v>1740.53</v>
      </c>
      <c r="O7" s="25" t="n">
        <f aca="false">M7-N7</f>
        <v>2861.97</v>
      </c>
      <c r="P7" s="42" t="n">
        <f aca="false">INDEX(Koszty!$C$67:$N$67,$A7)</f>
        <v>370</v>
      </c>
      <c r="Q7" s="25" t="n">
        <f aca="false">O7-P7</f>
        <v>2491.97</v>
      </c>
      <c r="R7" s="25" t="n">
        <f aca="false">R6+Q7</f>
        <v>6325.73</v>
      </c>
      <c r="S7" s="58" t="n">
        <f aca="false">IF(J7&gt;0,1,0)</f>
        <v>1</v>
      </c>
    </row>
    <row r="8" customFormat="false" ht="15" hidden="false" customHeight="true" outlineLevel="0" collapsed="false">
      <c r="A8" s="62" t="n">
        <v>3</v>
      </c>
      <c r="B8" s="63" t="n">
        <f aca="false">EDATE(DataStartu,$A8-1)</f>
        <v>46508</v>
      </c>
      <c r="C8" s="42" t="n">
        <f aca="false">INDEX(Koszty!$C$33:$N$33,$A8)</f>
        <v>6855</v>
      </c>
      <c r="D8" s="42" t="n">
        <f aca="false">INDEX(Koszty!$C$36:$N$36,$A8)</f>
        <v>1399.85</v>
      </c>
      <c r="E8" s="42" t="n">
        <f aca="false">INDEX(Koszty!$C$37:$N$37,$A8)</f>
        <v>0</v>
      </c>
      <c r="F8" s="42" t="n">
        <f aca="false">INDEX(Koszty!$C$40:$N$40,$A8)</f>
        <v>498.35</v>
      </c>
      <c r="G8" s="25" t="n">
        <f aca="false">D8+E8+F8</f>
        <v>1898.2</v>
      </c>
      <c r="H8" s="25" t="n">
        <f aca="false">C8-G8</f>
        <v>4956.8</v>
      </c>
      <c r="I8" s="42" t="n">
        <f aca="false">INDEX(Koszty!$C$47:$N$47,$A8)</f>
        <v>561</v>
      </c>
      <c r="J8" s="25" t="n">
        <f aca="false">H8-I8</f>
        <v>4395.8</v>
      </c>
      <c r="K8" s="25" t="n">
        <f aca="false">K7+J8</f>
        <v>13494.8</v>
      </c>
      <c r="M8" s="42" t="n">
        <f aca="false">INDEX(Koszty!$C$53:$N$53,$A8)</f>
        <v>4798.5</v>
      </c>
      <c r="N8" s="42" t="n">
        <f aca="false">INDEX(Koszty!$C$68:$N$68,$A8)</f>
        <v>1754.25</v>
      </c>
      <c r="O8" s="25" t="n">
        <f aca="false">M8-N8</f>
        <v>3044.25</v>
      </c>
      <c r="P8" s="42" t="n">
        <f aca="false">INDEX(Koszty!$C$67:$N$67,$A8)</f>
        <v>386</v>
      </c>
      <c r="Q8" s="25" t="n">
        <f aca="false">O8-P8</f>
        <v>2658.25</v>
      </c>
      <c r="R8" s="25" t="n">
        <f aca="false">R7+Q8</f>
        <v>8983.98</v>
      </c>
      <c r="S8" s="58" t="n">
        <f aca="false">IF(J8&gt;0,1,0)</f>
        <v>1</v>
      </c>
    </row>
    <row r="9" customFormat="false" ht="15" hidden="false" customHeight="true" outlineLevel="0" collapsed="false">
      <c r="A9" s="62" t="n">
        <v>4</v>
      </c>
      <c r="B9" s="63" t="n">
        <f aca="false">EDATE(DataStartu,$A9-1)</f>
        <v>46539</v>
      </c>
      <c r="C9" s="42" t="n">
        <f aca="false">INDEX(Koszty!$C$33:$N$33,$A9)</f>
        <v>7470</v>
      </c>
      <c r="D9" s="42" t="n">
        <f aca="false">INDEX(Koszty!$C$36:$N$36,$A9)</f>
        <v>1442.9</v>
      </c>
      <c r="E9" s="42" t="n">
        <f aca="false">INDEX(Koszty!$C$37:$N$37,$A9)</f>
        <v>0</v>
      </c>
      <c r="F9" s="42" t="n">
        <f aca="false">INDEX(Koszty!$C$40:$N$40,$A9)</f>
        <v>498.35</v>
      </c>
      <c r="G9" s="25" t="n">
        <f aca="false">D9+E9+F9</f>
        <v>1941.25</v>
      </c>
      <c r="H9" s="25" t="n">
        <f aca="false">C9-G9</f>
        <v>5528.75</v>
      </c>
      <c r="I9" s="42" t="n">
        <f aca="false">INDEX(Koszty!$C$47:$N$47,$A9)</f>
        <v>614</v>
      </c>
      <c r="J9" s="25" t="n">
        <f aca="false">H9-I9</f>
        <v>4914.75</v>
      </c>
      <c r="K9" s="25" t="n">
        <f aca="false">K8+J9</f>
        <v>18409.55</v>
      </c>
      <c r="M9" s="42" t="n">
        <f aca="false">INDEX(Koszty!$C$53:$N$53,$A9)</f>
        <v>5229</v>
      </c>
      <c r="N9" s="42" t="n">
        <f aca="false">INDEX(Koszty!$C$68:$N$68,$A9)</f>
        <v>1784.38</v>
      </c>
      <c r="O9" s="25" t="n">
        <f aca="false">M9-N9</f>
        <v>3444.62</v>
      </c>
      <c r="P9" s="42" t="n">
        <f aca="false">INDEX(Koszty!$C$67:$N$67,$A9)</f>
        <v>424</v>
      </c>
      <c r="Q9" s="25" t="n">
        <f aca="false">O9-P9</f>
        <v>3020.62</v>
      </c>
      <c r="R9" s="25" t="n">
        <f aca="false">R8+Q9</f>
        <v>12004.6</v>
      </c>
      <c r="S9" s="58" t="n">
        <f aca="false">IF(J9&gt;0,1,0)</f>
        <v>1</v>
      </c>
    </row>
    <row r="10" customFormat="false" ht="15" hidden="false" customHeight="true" outlineLevel="0" collapsed="false">
      <c r="A10" s="62" t="n">
        <v>5</v>
      </c>
      <c r="B10" s="63" t="n">
        <f aca="false">EDATE(DataStartu,$A10-1)</f>
        <v>46569</v>
      </c>
      <c r="C10" s="42" t="n">
        <f aca="false">INDEX(Koszty!$C$33:$N$33,$A10)</f>
        <v>6620</v>
      </c>
      <c r="D10" s="42" t="n">
        <f aca="false">INDEX(Koszty!$C$36:$N$36,$A10)</f>
        <v>1383.4</v>
      </c>
      <c r="E10" s="42" t="n">
        <f aca="false">INDEX(Koszty!$C$37:$N$37,$A10)</f>
        <v>0</v>
      </c>
      <c r="F10" s="42" t="n">
        <f aca="false">INDEX(Koszty!$C$40:$N$40,$A10)</f>
        <v>498.35</v>
      </c>
      <c r="G10" s="25" t="n">
        <f aca="false">D10+E10+F10</f>
        <v>1881.75</v>
      </c>
      <c r="H10" s="25" t="n">
        <f aca="false">C10-G10</f>
        <v>4738.25</v>
      </c>
      <c r="I10" s="42" t="n">
        <f aca="false">INDEX(Koszty!$C$47:$N$47,$A10)</f>
        <v>541</v>
      </c>
      <c r="J10" s="25" t="n">
        <f aca="false">H10-I10</f>
        <v>4197.25</v>
      </c>
      <c r="K10" s="25" t="n">
        <f aca="false">K9+J10</f>
        <v>22606.8</v>
      </c>
      <c r="M10" s="42" t="n">
        <f aca="false">INDEX(Koszty!$C$53:$N$53,$A10)</f>
        <v>4634</v>
      </c>
      <c r="N10" s="42" t="n">
        <f aca="false">INDEX(Koszty!$C$68:$N$68,$A10)</f>
        <v>1742.73</v>
      </c>
      <c r="O10" s="25" t="n">
        <f aca="false">M10-N10</f>
        <v>2891.27</v>
      </c>
      <c r="P10" s="42" t="n">
        <f aca="false">INDEX(Koszty!$C$67:$N$67,$A10)</f>
        <v>372</v>
      </c>
      <c r="Q10" s="25" t="n">
        <f aca="false">O10-P10</f>
        <v>2519.27</v>
      </c>
      <c r="R10" s="25" t="n">
        <f aca="false">R9+Q10</f>
        <v>14523.87</v>
      </c>
      <c r="S10" s="58" t="n">
        <f aca="false">IF(J10&gt;0,1,0)</f>
        <v>1</v>
      </c>
    </row>
    <row r="11" customFormat="false" ht="15" hidden="false" customHeight="true" outlineLevel="0" collapsed="false">
      <c r="A11" s="62" t="n">
        <v>6</v>
      </c>
      <c r="B11" s="63" t="n">
        <f aca="false">EDATE(DataStartu,$A11-1)</f>
        <v>46600</v>
      </c>
      <c r="C11" s="42" t="n">
        <f aca="false">INDEX(Koszty!$C$33:$N$33,$A11)</f>
        <v>6620</v>
      </c>
      <c r="D11" s="42" t="n">
        <f aca="false">INDEX(Koszty!$C$36:$N$36,$A11)</f>
        <v>1383.4</v>
      </c>
      <c r="E11" s="42" t="n">
        <f aca="false">INDEX(Koszty!$C$37:$N$37,$A11)</f>
        <v>0</v>
      </c>
      <c r="F11" s="42" t="n">
        <f aca="false">INDEX(Koszty!$C$40:$N$40,$A11)</f>
        <v>498.35</v>
      </c>
      <c r="G11" s="25" t="n">
        <f aca="false">D11+E11+F11</f>
        <v>1881.75</v>
      </c>
      <c r="H11" s="25" t="n">
        <f aca="false">C11-G11</f>
        <v>4738.25</v>
      </c>
      <c r="I11" s="42" t="n">
        <f aca="false">INDEX(Koszty!$C$47:$N$47,$A11)</f>
        <v>542</v>
      </c>
      <c r="J11" s="25" t="n">
        <f aca="false">H11-I11</f>
        <v>4196.25</v>
      </c>
      <c r="K11" s="25" t="n">
        <f aca="false">K10+J11</f>
        <v>26803.05</v>
      </c>
      <c r="M11" s="42" t="n">
        <f aca="false">INDEX(Koszty!$C$53:$N$53,$A11)</f>
        <v>4634</v>
      </c>
      <c r="N11" s="42" t="n">
        <f aca="false">INDEX(Koszty!$C$68:$N$68,$A11)</f>
        <v>1742.73</v>
      </c>
      <c r="O11" s="25" t="n">
        <f aca="false">M11-N11</f>
        <v>2891.27</v>
      </c>
      <c r="P11" s="42" t="n">
        <f aca="false">INDEX(Koszty!$C$67:$N$67,$A11)</f>
        <v>373</v>
      </c>
      <c r="Q11" s="25" t="n">
        <f aca="false">O11-P11</f>
        <v>2518.27</v>
      </c>
      <c r="R11" s="25" t="n">
        <f aca="false">R10+Q11</f>
        <v>17042.14</v>
      </c>
      <c r="S11" s="58" t="n">
        <f aca="false">IF(J11&gt;0,1,0)</f>
        <v>1</v>
      </c>
    </row>
    <row r="12" customFormat="false" ht="15" hidden="false" customHeight="true" outlineLevel="0" collapsed="false">
      <c r="A12" s="62" t="n">
        <v>7</v>
      </c>
      <c r="B12" s="63" t="n">
        <f aca="false">EDATE(DataStartu,$A12-1)</f>
        <v>46631</v>
      </c>
      <c r="C12" s="42" t="n">
        <f aca="false">INDEX(Koszty!$C$33:$N$33,$A12)</f>
        <v>7470</v>
      </c>
      <c r="D12" s="42" t="n">
        <f aca="false">INDEX(Koszty!$C$36:$N$36,$A12)</f>
        <v>1442.9</v>
      </c>
      <c r="E12" s="42" t="n">
        <f aca="false">INDEX(Koszty!$C$37:$N$37,$A12)</f>
        <v>456.18</v>
      </c>
      <c r="F12" s="42" t="n">
        <f aca="false">INDEX(Koszty!$C$40:$N$40,$A12)</f>
        <v>498.35</v>
      </c>
      <c r="G12" s="25" t="n">
        <f aca="false">D12+E12+F12</f>
        <v>2397.43</v>
      </c>
      <c r="H12" s="25" t="n">
        <f aca="false">C12-G12</f>
        <v>5072.57</v>
      </c>
      <c r="I12" s="42" t="n">
        <f aca="false">INDEX(Koszty!$C$47:$N$47,$A12)</f>
        <v>575</v>
      </c>
      <c r="J12" s="25" t="n">
        <f aca="false">H12-I12</f>
        <v>4497.57</v>
      </c>
      <c r="K12" s="25" t="n">
        <f aca="false">K11+J12</f>
        <v>31300.62</v>
      </c>
      <c r="M12" s="42" t="n">
        <f aca="false">INDEX(Koszty!$C$53:$N$53,$A12)</f>
        <v>5229</v>
      </c>
      <c r="N12" s="42" t="n">
        <f aca="false">INDEX(Koszty!$C$68:$N$68,$A12)</f>
        <v>2240.56</v>
      </c>
      <c r="O12" s="25" t="n">
        <f aca="false">M12-N12</f>
        <v>2988.44</v>
      </c>
      <c r="P12" s="42" t="n">
        <f aca="false">INDEX(Koszty!$C$67:$N$67,$A12)</f>
        <v>384</v>
      </c>
      <c r="Q12" s="25" t="n">
        <f aca="false">O12-P12</f>
        <v>2604.44</v>
      </c>
      <c r="R12" s="25" t="n">
        <f aca="false">R11+Q12</f>
        <v>19646.58</v>
      </c>
      <c r="S12" s="58" t="n">
        <f aca="false">IF(J12&gt;0,1,0)</f>
        <v>1</v>
      </c>
    </row>
    <row r="13" customFormat="false" ht="15" hidden="false" customHeight="true" outlineLevel="0" collapsed="false">
      <c r="A13" s="62" t="n">
        <v>8</v>
      </c>
      <c r="B13" s="63" t="n">
        <f aca="false">EDATE(DataStartu,$A13-1)</f>
        <v>46661</v>
      </c>
      <c r="C13" s="42" t="n">
        <f aca="false">INDEX(Koszty!$C$33:$N$33,$A13)</f>
        <v>7750</v>
      </c>
      <c r="D13" s="42" t="n">
        <f aca="false">INDEX(Koszty!$C$36:$N$36,$A13)</f>
        <v>1462.5</v>
      </c>
      <c r="E13" s="42" t="n">
        <f aca="false">INDEX(Koszty!$C$37:$N$37,$A13)</f>
        <v>456.18</v>
      </c>
      <c r="F13" s="42" t="n">
        <f aca="false">INDEX(Koszty!$C$40:$N$40,$A13)</f>
        <v>498.35</v>
      </c>
      <c r="G13" s="25" t="n">
        <f aca="false">D13+E13+F13</f>
        <v>2417.03</v>
      </c>
      <c r="H13" s="25" t="n">
        <f aca="false">C13-G13</f>
        <v>5332.97</v>
      </c>
      <c r="I13" s="42" t="n">
        <f aca="false">INDEX(Koszty!$C$47:$N$47,$A13)</f>
        <v>599</v>
      </c>
      <c r="J13" s="25" t="n">
        <f aca="false">H13-I13</f>
        <v>4733.97</v>
      </c>
      <c r="K13" s="25" t="n">
        <f aca="false">K12+J13</f>
        <v>36034.59</v>
      </c>
      <c r="M13" s="42" t="n">
        <f aca="false">INDEX(Koszty!$C$53:$N$53,$A13)</f>
        <v>5425</v>
      </c>
      <c r="N13" s="42" t="n">
        <f aca="false">INDEX(Koszty!$C$68:$N$68,$A13)</f>
        <v>2254.28</v>
      </c>
      <c r="O13" s="25" t="n">
        <f aca="false">M13-N13</f>
        <v>3170.72</v>
      </c>
      <c r="P13" s="42" t="n">
        <f aca="false">INDEX(Koszty!$C$67:$N$67,$A13)</f>
        <v>402</v>
      </c>
      <c r="Q13" s="25" t="n">
        <f aca="false">O13-P13</f>
        <v>2768.72</v>
      </c>
      <c r="R13" s="25" t="n">
        <f aca="false">R12+Q13</f>
        <v>22415.3</v>
      </c>
      <c r="S13" s="58" t="n">
        <f aca="false">IF(J13&gt;0,1,0)</f>
        <v>1</v>
      </c>
    </row>
    <row r="14" customFormat="false" ht="15" hidden="false" customHeight="true" outlineLevel="0" collapsed="false">
      <c r="A14" s="62" t="n">
        <v>9</v>
      </c>
      <c r="B14" s="63" t="n">
        <f aca="false">EDATE(DataStartu,$A14-1)</f>
        <v>46692</v>
      </c>
      <c r="C14" s="42" t="n">
        <f aca="false">INDEX(Koszty!$C$33:$N$33,$A14)</f>
        <v>7750</v>
      </c>
      <c r="D14" s="42" t="n">
        <f aca="false">INDEX(Koszty!$C$36:$N$36,$A14)</f>
        <v>1462.5</v>
      </c>
      <c r="E14" s="42" t="n">
        <f aca="false">INDEX(Koszty!$C$37:$N$37,$A14)</f>
        <v>456.18</v>
      </c>
      <c r="F14" s="42" t="n">
        <f aca="false">INDEX(Koszty!$C$40:$N$40,$A14)</f>
        <v>830.58</v>
      </c>
      <c r="G14" s="25" t="n">
        <f aca="false">D14+E14+F14</f>
        <v>2749.26</v>
      </c>
      <c r="H14" s="25" t="n">
        <f aca="false">C14-G14</f>
        <v>5000.74</v>
      </c>
      <c r="I14" s="42" t="n">
        <f aca="false">INDEX(Koszty!$C$47:$N$47,$A14)</f>
        <v>584</v>
      </c>
      <c r="J14" s="25" t="n">
        <f aca="false">H14-I14</f>
        <v>4416.74</v>
      </c>
      <c r="K14" s="25" t="n">
        <f aca="false">K13+J14</f>
        <v>40451.33</v>
      </c>
      <c r="M14" s="42" t="n">
        <f aca="false">INDEX(Koszty!$C$53:$N$53,$A14)</f>
        <v>5425</v>
      </c>
      <c r="N14" s="42" t="n">
        <f aca="false">INDEX(Koszty!$C$68:$N$68,$A14)</f>
        <v>2254.28</v>
      </c>
      <c r="O14" s="25" t="n">
        <f aca="false">M14-N14</f>
        <v>3170.72</v>
      </c>
      <c r="P14" s="42" t="n">
        <f aca="false">INDEX(Koszty!$C$67:$N$67,$A14)</f>
        <v>401</v>
      </c>
      <c r="Q14" s="25" t="n">
        <f aca="false">O14-P14</f>
        <v>2769.72</v>
      </c>
      <c r="R14" s="25" t="n">
        <f aca="false">R13+Q14</f>
        <v>25185.02</v>
      </c>
      <c r="S14" s="58" t="n">
        <f aca="false">IF(J14&gt;0,1,0)</f>
        <v>1</v>
      </c>
    </row>
    <row r="15" customFormat="false" ht="15" hidden="false" customHeight="true" outlineLevel="0" collapsed="false">
      <c r="A15" s="62" t="n">
        <v>10</v>
      </c>
      <c r="B15" s="63" t="n">
        <f aca="false">EDATE(DataStartu,$A15-1)</f>
        <v>46722</v>
      </c>
      <c r="C15" s="42" t="n">
        <f aca="false">INDEX(Koszty!$C$33:$N$33,$A15)</f>
        <v>8365</v>
      </c>
      <c r="D15" s="42" t="n">
        <f aca="false">INDEX(Koszty!$C$36:$N$36,$A15)</f>
        <v>1505.55</v>
      </c>
      <c r="E15" s="42" t="n">
        <f aca="false">INDEX(Koszty!$C$37:$N$37,$A15)</f>
        <v>456.18</v>
      </c>
      <c r="F15" s="42" t="n">
        <f aca="false">INDEX(Koszty!$C$40:$N$40,$A15)</f>
        <v>830.58</v>
      </c>
      <c r="G15" s="25" t="n">
        <f aca="false">D15+E15+F15</f>
        <v>2792.31</v>
      </c>
      <c r="H15" s="25" t="n">
        <f aca="false">C15-G15</f>
        <v>5572.69</v>
      </c>
      <c r="I15" s="42" t="n">
        <f aca="false">INDEX(Koszty!$C$47:$N$47,$A15)</f>
        <v>637</v>
      </c>
      <c r="J15" s="25" t="n">
        <f aca="false">H15-I15</f>
        <v>4935.69</v>
      </c>
      <c r="K15" s="25" t="n">
        <f aca="false">K14+J15</f>
        <v>45387.02</v>
      </c>
      <c r="M15" s="42" t="n">
        <f aca="false">INDEX(Koszty!$C$53:$N$53,$A15)</f>
        <v>5855.5</v>
      </c>
      <c r="N15" s="42" t="n">
        <f aca="false">INDEX(Koszty!$C$68:$N$68,$A15)</f>
        <v>2284.42</v>
      </c>
      <c r="O15" s="25" t="n">
        <f aca="false">M15-N15</f>
        <v>3571.08</v>
      </c>
      <c r="P15" s="42" t="n">
        <f aca="false">INDEX(Koszty!$C$67:$N$67,$A15)</f>
        <v>438</v>
      </c>
      <c r="Q15" s="25" t="n">
        <f aca="false">O15-P15</f>
        <v>3133.08</v>
      </c>
      <c r="R15" s="25" t="n">
        <f aca="false">R14+Q15</f>
        <v>28318.1</v>
      </c>
      <c r="S15" s="58" t="n">
        <f aca="false">IF(J15&gt;0,1,0)</f>
        <v>1</v>
      </c>
    </row>
    <row r="16" customFormat="false" ht="15" hidden="false" customHeight="true" outlineLevel="0" collapsed="false">
      <c r="A16" s="62" t="n">
        <v>11</v>
      </c>
      <c r="B16" s="63" t="n">
        <f aca="false">EDATE(DataStartu,$A16-1)</f>
        <v>46753</v>
      </c>
      <c r="C16" s="42" t="n">
        <f aca="false">INDEX(Koszty!$C$33:$N$33,$A16)</f>
        <v>6620</v>
      </c>
      <c r="D16" s="42" t="n">
        <f aca="false">INDEX(Koszty!$C$36:$N$36,$A16)</f>
        <v>1383.4</v>
      </c>
      <c r="E16" s="42" t="n">
        <f aca="false">INDEX(Koszty!$C$37:$N$37,$A16)</f>
        <v>456.18</v>
      </c>
      <c r="F16" s="42" t="n">
        <f aca="false">INDEX(Koszty!$C$40:$N$40,$A16)</f>
        <v>498.35</v>
      </c>
      <c r="G16" s="25" t="n">
        <f aca="false">D16+E16+F16</f>
        <v>2337.93</v>
      </c>
      <c r="H16" s="25" t="n">
        <f aca="false">C16-G16</f>
        <v>4282.07</v>
      </c>
      <c r="I16" s="42" t="n">
        <f aca="false">INDEX(Koszty!$C$47:$N$47,$A16)</f>
        <v>503</v>
      </c>
      <c r="J16" s="25" t="n">
        <f aca="false">H16-I16</f>
        <v>3779.07</v>
      </c>
      <c r="K16" s="25" t="n">
        <f aca="false">K15+J16</f>
        <v>49166.09</v>
      </c>
      <c r="M16" s="42" t="n">
        <f aca="false">INDEX(Koszty!$C$53:$N$53,$A16)</f>
        <v>4634</v>
      </c>
      <c r="N16" s="42" t="n">
        <f aca="false">INDEX(Koszty!$C$68:$N$68,$A16)</f>
        <v>2198.91</v>
      </c>
      <c r="O16" s="25" t="n">
        <f aca="false">M16-N16</f>
        <v>2435.09</v>
      </c>
      <c r="P16" s="42" t="n">
        <f aca="false">INDEX(Koszty!$C$67:$N$67,$A16)</f>
        <v>334</v>
      </c>
      <c r="Q16" s="25" t="n">
        <f aca="false">O16-P16</f>
        <v>2101.09</v>
      </c>
      <c r="R16" s="25" t="n">
        <f aca="false">R15+Q16</f>
        <v>30419.19</v>
      </c>
      <c r="S16" s="58" t="n">
        <f aca="false">IF(J16&gt;0,1,0)</f>
        <v>1</v>
      </c>
    </row>
    <row r="17" customFormat="false" ht="15" hidden="false" customHeight="true" outlineLevel="0" collapsed="false">
      <c r="A17" s="62" t="n">
        <v>12</v>
      </c>
      <c r="B17" s="63" t="n">
        <f aca="false">EDATE(DataStartu,$A17-1)</f>
        <v>46784</v>
      </c>
      <c r="C17" s="42" t="n">
        <f aca="false">INDEX(Koszty!$C$33:$N$33,$A17)</f>
        <v>6620</v>
      </c>
      <c r="D17" s="42" t="n">
        <f aca="false">INDEX(Koszty!$C$36:$N$36,$A17)</f>
        <v>1383.4</v>
      </c>
      <c r="E17" s="42" t="n">
        <f aca="false">INDEX(Koszty!$C$37:$N$37,$A17)</f>
        <v>456.18</v>
      </c>
      <c r="F17" s="42" t="n">
        <f aca="false">INDEX(Koszty!$C$40:$N$40,$A17)</f>
        <v>498.35</v>
      </c>
      <c r="G17" s="25" t="n">
        <f aca="false">D17+E17+F17</f>
        <v>2337.93</v>
      </c>
      <c r="H17" s="25" t="n">
        <f aca="false">C17-G17</f>
        <v>4282.07</v>
      </c>
      <c r="I17" s="42" t="n">
        <f aca="false">INDEX(Koszty!$C$47:$N$47,$A17)</f>
        <v>502</v>
      </c>
      <c r="J17" s="25" t="n">
        <f aca="false">H17-I17</f>
        <v>3780.07</v>
      </c>
      <c r="K17" s="25" t="n">
        <f aca="false">K16+J17</f>
        <v>52946.16</v>
      </c>
      <c r="M17" s="42" t="n">
        <f aca="false">INDEX(Koszty!$C$53:$N$53,$A17)</f>
        <v>4634</v>
      </c>
      <c r="N17" s="42" t="n">
        <f aca="false">INDEX(Koszty!$C$68:$N$68,$A17)</f>
        <v>2198.91</v>
      </c>
      <c r="O17" s="25" t="n">
        <f aca="false">M17-N17</f>
        <v>2435.09</v>
      </c>
      <c r="P17" s="42" t="n">
        <f aca="false">INDEX(Koszty!$C$67:$N$67,$A17)</f>
        <v>334</v>
      </c>
      <c r="Q17" s="25" t="n">
        <f aca="false">O17-P17</f>
        <v>2101.09</v>
      </c>
      <c r="R17" s="25" t="n">
        <f aca="false">R16+Q17</f>
        <v>32520.28</v>
      </c>
      <c r="S17" s="58" t="n">
        <f aca="false">IF(J17&gt;0,1,0)</f>
        <v>1</v>
      </c>
    </row>
    <row r="19" customFormat="false" ht="15" hidden="false" customHeight="true" outlineLevel="0" collapsed="false">
      <c r="A19" s="40" t="s">
        <v>300</v>
      </c>
      <c r="B19" s="40"/>
      <c r="C19" s="41" t="n">
        <f aca="false">SUM(C6:C17)</f>
        <v>83080</v>
      </c>
      <c r="D19" s="41" t="n">
        <f aca="false">SUM(D6:D17)</f>
        <v>16855.6</v>
      </c>
      <c r="E19" s="41" t="n">
        <f aca="false">SUM(E6:E17)</f>
        <v>2737.08</v>
      </c>
      <c r="F19" s="41" t="n">
        <f aca="false">SUM(F6:F17)</f>
        <v>6644.66</v>
      </c>
      <c r="G19" s="41" t="n">
        <f aca="false">SUM(G6:G17)</f>
        <v>26237.34</v>
      </c>
      <c r="H19" s="41" t="n">
        <f aca="false">SUM(H6:H17)</f>
        <v>56842.66</v>
      </c>
      <c r="I19" s="41" t="n">
        <f aca="false">SUM(I6:I17)</f>
        <v>6546</v>
      </c>
      <c r="J19" s="41" t="n">
        <f aca="false">SUM(J6:J17)</f>
        <v>50296.66</v>
      </c>
      <c r="K19" s="41" t="n">
        <f aca="false">K17</f>
        <v>52946.16</v>
      </c>
      <c r="L19" s="5"/>
      <c r="M19" s="41" t="n">
        <f aca="false">SUM(M6:M17)</f>
        <v>58156</v>
      </c>
      <c r="N19" s="41" t="n">
        <f aca="false">SUM(N6:N17)</f>
        <v>23828.22</v>
      </c>
      <c r="O19" s="41" t="n">
        <f aca="false">SUM(O6:O17)</f>
        <v>34327.78</v>
      </c>
      <c r="P19" s="41" t="n">
        <f aca="false">SUM(P6:P17)</f>
        <v>4457</v>
      </c>
      <c r="Q19" s="41" t="n">
        <f aca="false">SUM(Q6:Q17)</f>
        <v>29870.78</v>
      </c>
      <c r="R19" s="41" t="n">
        <f aca="false">R17</f>
        <v>32520.28</v>
      </c>
      <c r="S19" s="64" t="n">
        <f aca="false">SUM(S6:S17)</f>
        <v>12</v>
      </c>
    </row>
    <row r="22" customFormat="false" ht="15" hidden="false" customHeight="true" outlineLevel="0" collapsed="false">
      <c r="A22" s="16" t="s">
        <v>372</v>
      </c>
    </row>
    <row r="23" customFormat="false" ht="19.5" hidden="false" customHeight="true" outlineLevel="0" collapsed="false">
      <c r="A23" s="4" t="s">
        <v>373</v>
      </c>
      <c r="B23" s="4"/>
      <c r="C23" s="4" t="s">
        <v>3</v>
      </c>
      <c r="D23" s="4" t="s">
        <v>374</v>
      </c>
    </row>
    <row r="24" customFormat="false" ht="15" hidden="false" customHeight="true" outlineLevel="0" collapsed="false">
      <c r="A24" s="65" t="s">
        <v>375</v>
      </c>
      <c r="B24" s="65"/>
      <c r="C24" s="42" t="n">
        <f aca="false">(Koszty!O17+Koszty!O30+Koszty!O40)/12</f>
        <v>1701.81166666667</v>
      </c>
      <c r="D24" s="3" t="s">
        <v>376</v>
      </c>
    </row>
    <row r="25" customFormat="false" ht="15" hidden="false" customHeight="true" outlineLevel="0" collapsed="false">
      <c r="A25" s="65" t="s">
        <v>377</v>
      </c>
      <c r="B25" s="65"/>
      <c r="C25" s="66" t="n">
        <f aca="false">MaterialyPct</f>
        <v>0.07</v>
      </c>
      <c r="D25" s="3" t="s">
        <v>378</v>
      </c>
    </row>
    <row r="26" customFormat="false" ht="15" hidden="false" customHeight="true" outlineLevel="0" collapsed="false">
      <c r="A26" s="67" t="s">
        <v>379</v>
      </c>
      <c r="B26" s="67"/>
      <c r="C26" s="25" t="n">
        <f aca="false">IF(C25&lt;1,C24/(1-C25),0)</f>
        <v>1829.90501792115</v>
      </c>
      <c r="D26" s="3" t="s">
        <v>380</v>
      </c>
    </row>
    <row r="27" customFormat="false" ht="15" hidden="false" customHeight="true" outlineLevel="0" collapsed="false">
      <c r="A27" s="65" t="s">
        <v>381</v>
      </c>
      <c r="B27" s="65"/>
      <c r="C27" s="42" t="n">
        <f aca="false">IF(Przychody!O34&gt;0,Przychody!O33/Przychody!O34,0)</f>
        <v>96.8298368298368</v>
      </c>
      <c r="D27" s="3" t="s">
        <v>382</v>
      </c>
    </row>
    <row r="28" customFormat="false" ht="15" hidden="false" customHeight="true" outlineLevel="0" collapsed="false">
      <c r="A28" s="67" t="s">
        <v>383</v>
      </c>
      <c r="B28" s="67"/>
      <c r="C28" s="54" t="n">
        <f aca="false">IF(C27&gt;0,ROUNDUP(C26/C27,0),0)</f>
        <v>19</v>
      </c>
      <c r="D28" s="3" t="s">
        <v>384</v>
      </c>
    </row>
    <row r="29" customFormat="false" ht="15" hidden="false" customHeight="true" outlineLevel="0" collapsed="false">
      <c r="A29" s="65" t="s">
        <v>385</v>
      </c>
      <c r="B29" s="65"/>
      <c r="C29" s="42" t="n">
        <f aca="false">IF(C25&lt;1,(Koszty!O17/12+ZUSPelnySuma-IF(Chorobowe="TAK",0,ZUSPelnyChor)+Koszty!O40/12)/(1-C25),0)</f>
        <v>3656.43189964158</v>
      </c>
      <c r="D29" s="3" t="s">
        <v>386</v>
      </c>
    </row>
    <row r="30" customFormat="false" ht="15" hidden="false" customHeight="true" outlineLevel="0" collapsed="false">
      <c r="A30" s="65" t="s">
        <v>387</v>
      </c>
      <c r="B30" s="65"/>
      <c r="C30" s="25" t="n">
        <f aca="false">AVERAGE(C9:C17)</f>
        <v>7253.88888888889</v>
      </c>
      <c r="D30" s="3" t="s">
        <v>388</v>
      </c>
    </row>
    <row r="31" customFormat="false" ht="15" hidden="false" customHeight="true" outlineLevel="0" collapsed="false">
      <c r="A31" s="65" t="s">
        <v>389</v>
      </c>
      <c r="B31" s="65"/>
      <c r="C31" s="57" t="n">
        <f aca="false">IF(C30&gt;0,(C30-C26)/C30,0)</f>
        <v>0.74773462263475</v>
      </c>
      <c r="D31" s="3" t="s">
        <v>390</v>
      </c>
    </row>
    <row r="32" customFormat="false" ht="15" hidden="false" customHeight="true" outlineLevel="0" collapsed="false">
      <c r="A32" s="65" t="s">
        <v>391</v>
      </c>
      <c r="B32" s="65"/>
      <c r="C32" s="25" t="n">
        <f aca="false">AVERAGE(M9:M17)</f>
        <v>5077.72222222222</v>
      </c>
      <c r="D32" s="3"/>
    </row>
    <row r="33" customFormat="false" ht="15" hidden="false" customHeight="true" outlineLevel="0" collapsed="false">
      <c r="A33" s="65" t="s">
        <v>392</v>
      </c>
      <c r="B33" s="65"/>
      <c r="C33" s="57" t="n">
        <f aca="false">IF(C32&gt;0,(C32-C26)/C32,0)</f>
        <v>0.639620889478215</v>
      </c>
      <c r="D33" s="3" t="s">
        <v>393</v>
      </c>
    </row>
    <row r="34" customFormat="false" ht="15" hidden="false" customHeight="true" outlineLevel="0" collapsed="false">
      <c r="A34" s="65" t="s">
        <v>394</v>
      </c>
      <c r="B34" s="65"/>
      <c r="C34" s="58" t="n">
        <f aca="false">IFERROR(MATCH(1,S6:S17,0),"brak w 12 mies.")</f>
        <v>1</v>
      </c>
      <c r="D34" s="3"/>
    </row>
  </sheetData>
  <mergeCells count="14">
    <mergeCell ref="C3:K3"/>
    <mergeCell ref="M3:S3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4"/>
    <col collapsed="false" customWidth="true" hidden="false" outlineLevel="0" max="4" min="3" style="1" width="16"/>
    <col collapsed="false" customWidth="true" hidden="false" outlineLevel="0" max="8" min="5" style="1" width="13"/>
    <col collapsed="false" customWidth="true" hidden="false" outlineLevel="0" max="9" min="9" style="1" width="14"/>
    <col collapsed="false" customWidth="true" hidden="false" outlineLevel="0" max="15" min="10" style="1" width="13"/>
  </cols>
  <sheetData>
    <row r="1" customFormat="false" ht="17.25" hidden="false" customHeight="true" outlineLevel="0" collapsed="false">
      <c r="A1" s="2" t="s">
        <v>395</v>
      </c>
    </row>
    <row r="2" customFormat="false" ht="15" hidden="false" customHeight="true" outlineLevel="0" collapsed="false">
      <c r="A2" s="3" t="s">
        <v>396</v>
      </c>
    </row>
    <row r="4" customFormat="false" ht="15" hidden="false" customHeight="true" outlineLevel="0" collapsed="false">
      <c r="A4" s="16" t="s">
        <v>397</v>
      </c>
    </row>
    <row r="5" customFormat="false" ht="15" hidden="false" customHeight="true" outlineLevel="0" collapsed="false">
      <c r="A5" s="46" t="s">
        <v>398</v>
      </c>
      <c r="B5" s="50"/>
      <c r="C5" s="51" t="n">
        <v>1</v>
      </c>
      <c r="D5" s="52" t="n">
        <f aca="false">C5+1</f>
        <v>2</v>
      </c>
      <c r="E5" s="52" t="n">
        <f aca="false">D5+1</f>
        <v>3</v>
      </c>
      <c r="F5" s="52" t="n">
        <f aca="false">E5+1</f>
        <v>4</v>
      </c>
      <c r="G5" s="52" t="n">
        <f aca="false">F5+1</f>
        <v>5</v>
      </c>
      <c r="H5" s="52" t="n">
        <f aca="false">G5+1</f>
        <v>6</v>
      </c>
      <c r="I5" s="52" t="n">
        <f aca="false">H5+1</f>
        <v>7</v>
      </c>
      <c r="J5" s="52" t="n">
        <f aca="false">I5+1</f>
        <v>8</v>
      </c>
      <c r="K5" s="52" t="n">
        <f aca="false">J5+1</f>
        <v>9</v>
      </c>
      <c r="L5" s="52" t="n">
        <f aca="false">K5+1</f>
        <v>10</v>
      </c>
      <c r="M5" s="52" t="n">
        <f aca="false">L5+1</f>
        <v>11</v>
      </c>
      <c r="N5" s="52" t="n">
        <f aca="false">M5+1</f>
        <v>12</v>
      </c>
      <c r="O5" s="46" t="s">
        <v>300</v>
      </c>
    </row>
    <row r="6" customFormat="false" ht="15" hidden="false" customHeight="true" outlineLevel="0" collapsed="false">
      <c r="A6" s="46" t="s">
        <v>283</v>
      </c>
      <c r="B6" s="50"/>
      <c r="C6" s="53" t="n">
        <f aca="false">EDATE(DataStartu,C5-1)</f>
        <v>46447</v>
      </c>
      <c r="D6" s="53" t="n">
        <f aca="false">EDATE(DataStartu,D5-1)</f>
        <v>46478</v>
      </c>
      <c r="E6" s="53" t="n">
        <f aca="false">EDATE(DataStartu,E5-1)</f>
        <v>46508</v>
      </c>
      <c r="F6" s="53" t="n">
        <f aca="false">EDATE(DataStartu,F5-1)</f>
        <v>46539</v>
      </c>
      <c r="G6" s="53" t="n">
        <f aca="false">EDATE(DataStartu,G5-1)</f>
        <v>46569</v>
      </c>
      <c r="H6" s="53" t="n">
        <f aca="false">EDATE(DataStartu,H5-1)</f>
        <v>46600</v>
      </c>
      <c r="I6" s="53" t="n">
        <f aca="false">EDATE(DataStartu,I5-1)</f>
        <v>46631</v>
      </c>
      <c r="J6" s="53" t="n">
        <f aca="false">EDATE(DataStartu,J5-1)</f>
        <v>46661</v>
      </c>
      <c r="K6" s="53" t="n">
        <f aca="false">EDATE(DataStartu,K5-1)</f>
        <v>46692</v>
      </c>
      <c r="L6" s="53" t="n">
        <f aca="false">EDATE(DataStartu,L5-1)</f>
        <v>46722</v>
      </c>
      <c r="M6" s="53" t="n">
        <f aca="false">EDATE(DataStartu,M5-1)</f>
        <v>46753</v>
      </c>
      <c r="N6" s="53" t="n">
        <f aca="false">EDATE(DataStartu,N5-1)</f>
        <v>46784</v>
      </c>
      <c r="O6" s="50"/>
    </row>
    <row r="7" customFormat="false" ht="15" hidden="false" customHeight="true" outlineLevel="0" collapsed="false">
      <c r="A7" s="40" t="s">
        <v>399</v>
      </c>
      <c r="B7" s="40"/>
      <c r="C7" s="68" t="n">
        <f aca="false">Koszty!C33</f>
        <v>4365</v>
      </c>
      <c r="D7" s="68" t="n">
        <f aca="false">Koszty!D33</f>
        <v>6575</v>
      </c>
      <c r="E7" s="68" t="n">
        <f aca="false">Koszty!E33</f>
        <v>6855</v>
      </c>
      <c r="F7" s="68" t="n">
        <f aca="false">Koszty!F33</f>
        <v>7470</v>
      </c>
      <c r="G7" s="68" t="n">
        <f aca="false">Koszty!G33</f>
        <v>6620</v>
      </c>
      <c r="H7" s="68" t="n">
        <f aca="false">Koszty!H33</f>
        <v>6620</v>
      </c>
      <c r="I7" s="68" t="n">
        <f aca="false">Koszty!I33</f>
        <v>7470</v>
      </c>
      <c r="J7" s="68" t="n">
        <f aca="false">Koszty!J33</f>
        <v>7750</v>
      </c>
      <c r="K7" s="68" t="n">
        <f aca="false">Koszty!K33</f>
        <v>7750</v>
      </c>
      <c r="L7" s="68" t="n">
        <f aca="false">Koszty!L33</f>
        <v>8365</v>
      </c>
      <c r="M7" s="68" t="n">
        <f aca="false">Koszty!M33</f>
        <v>6620</v>
      </c>
      <c r="N7" s="68" t="n">
        <f aca="false">Koszty!N33</f>
        <v>6620</v>
      </c>
      <c r="O7" s="69" t="n">
        <f aca="false">SUM(C7:N7)</f>
        <v>83080</v>
      </c>
    </row>
    <row r="8" customFormat="false" ht="15" hidden="false" customHeight="true" outlineLevel="0" collapsed="false">
      <c r="A8" s="40" t="s">
        <v>400</v>
      </c>
      <c r="B8" s="40"/>
      <c r="C8" s="68" t="n">
        <f aca="false">Koszty!C48</f>
        <v>1723.9</v>
      </c>
      <c r="D8" s="68" t="n">
        <f aca="false">Koszty!D48</f>
        <v>1878.6</v>
      </c>
      <c r="E8" s="68" t="n">
        <f aca="false">Koszty!E48</f>
        <v>1898.2</v>
      </c>
      <c r="F8" s="68" t="n">
        <f aca="false">Koszty!F48</f>
        <v>1941.25</v>
      </c>
      <c r="G8" s="68" t="n">
        <f aca="false">Koszty!G48</f>
        <v>1881.75</v>
      </c>
      <c r="H8" s="68" t="n">
        <f aca="false">Koszty!H48</f>
        <v>1881.75</v>
      </c>
      <c r="I8" s="68" t="n">
        <f aca="false">Koszty!I48</f>
        <v>2397.43</v>
      </c>
      <c r="J8" s="68" t="n">
        <f aca="false">Koszty!J48</f>
        <v>2417.03</v>
      </c>
      <c r="K8" s="68" t="n">
        <f aca="false">Koszty!K48</f>
        <v>2749.26</v>
      </c>
      <c r="L8" s="68" t="n">
        <f aca="false">Koszty!L48</f>
        <v>2792.31</v>
      </c>
      <c r="M8" s="68" t="n">
        <f aca="false">Koszty!M48</f>
        <v>2337.93</v>
      </c>
      <c r="N8" s="68" t="n">
        <f aca="false">Koszty!N48</f>
        <v>2337.93</v>
      </c>
      <c r="O8" s="69" t="n">
        <f aca="false">SUM(C8:N8)</f>
        <v>26237.34</v>
      </c>
    </row>
    <row r="9" customFormat="false" ht="15" hidden="false" customHeight="true" outlineLevel="0" collapsed="false">
      <c r="A9" s="6" t="s">
        <v>401</v>
      </c>
      <c r="C9" s="70" t="n">
        <f aca="false">Koszty!C35</f>
        <v>305.55</v>
      </c>
      <c r="D9" s="70" t="n">
        <f aca="false">Koszty!D35</f>
        <v>460.25</v>
      </c>
      <c r="E9" s="70" t="n">
        <f aca="false">Koszty!E35</f>
        <v>479.85</v>
      </c>
      <c r="F9" s="70" t="n">
        <f aca="false">Koszty!F35</f>
        <v>522.9</v>
      </c>
      <c r="G9" s="70" t="n">
        <f aca="false">Koszty!G35</f>
        <v>463.4</v>
      </c>
      <c r="H9" s="70" t="n">
        <f aca="false">Koszty!H35</f>
        <v>463.4</v>
      </c>
      <c r="I9" s="70" t="n">
        <f aca="false">Koszty!I35</f>
        <v>522.9</v>
      </c>
      <c r="J9" s="70" t="n">
        <f aca="false">Koszty!J35</f>
        <v>542.5</v>
      </c>
      <c r="K9" s="70" t="n">
        <f aca="false">Koszty!K35</f>
        <v>542.5</v>
      </c>
      <c r="L9" s="70" t="n">
        <f aca="false">Koszty!L35</f>
        <v>585.55</v>
      </c>
      <c r="M9" s="70" t="n">
        <f aca="false">Koszty!M35</f>
        <v>463.4</v>
      </c>
      <c r="N9" s="70" t="n">
        <f aca="false">Koszty!N35</f>
        <v>463.4</v>
      </c>
      <c r="O9" s="54" t="n">
        <f aca="false">SUM(C9:N9)</f>
        <v>5815.6</v>
      </c>
    </row>
    <row r="10" customFormat="false" ht="15" hidden="false" customHeight="true" outlineLevel="0" collapsed="false">
      <c r="A10" s="6" t="s">
        <v>402</v>
      </c>
      <c r="C10" s="70" t="n">
        <f aca="false">Koszty!C9</f>
        <v>0</v>
      </c>
      <c r="D10" s="70" t="n">
        <f aca="false">Koszty!D9</f>
        <v>0</v>
      </c>
      <c r="E10" s="70" t="n">
        <f aca="false">Koszty!E9</f>
        <v>0</v>
      </c>
      <c r="F10" s="70" t="n">
        <f aca="false">Koszty!F9</f>
        <v>0</v>
      </c>
      <c r="G10" s="70" t="n">
        <f aca="false">Koszty!G9</f>
        <v>0</v>
      </c>
      <c r="H10" s="70" t="n">
        <f aca="false">Koszty!H9</f>
        <v>0</v>
      </c>
      <c r="I10" s="70" t="n">
        <f aca="false">Koszty!I9</f>
        <v>0</v>
      </c>
      <c r="J10" s="70" t="n">
        <f aca="false">Koszty!J9</f>
        <v>0</v>
      </c>
      <c r="K10" s="70" t="n">
        <f aca="false">Koszty!K9</f>
        <v>0</v>
      </c>
      <c r="L10" s="70" t="n">
        <f aca="false">Koszty!L9</f>
        <v>0</v>
      </c>
      <c r="M10" s="70" t="n">
        <f aca="false">Koszty!M9</f>
        <v>0</v>
      </c>
      <c r="N10" s="70" t="n">
        <f aca="false">Koszty!N9</f>
        <v>0</v>
      </c>
      <c r="O10" s="54" t="n">
        <f aca="false">SUM(C10:N10)</f>
        <v>0</v>
      </c>
    </row>
    <row r="11" customFormat="false" ht="15" hidden="false" customHeight="true" outlineLevel="0" collapsed="false">
      <c r="A11" s="6" t="s">
        <v>403</v>
      </c>
      <c r="C11" s="70" t="n">
        <f aca="false">Koszty!C10</f>
        <v>0</v>
      </c>
      <c r="D11" s="70" t="n">
        <f aca="false">Koszty!D10</f>
        <v>0</v>
      </c>
      <c r="E11" s="70" t="n">
        <f aca="false">Koszty!E10</f>
        <v>0</v>
      </c>
      <c r="F11" s="70" t="n">
        <f aca="false">Koszty!F10</f>
        <v>0</v>
      </c>
      <c r="G11" s="70" t="n">
        <f aca="false">Koszty!G10</f>
        <v>0</v>
      </c>
      <c r="H11" s="70" t="n">
        <f aca="false">Koszty!H10</f>
        <v>0</v>
      </c>
      <c r="I11" s="70" t="n">
        <f aca="false">Koszty!I10</f>
        <v>0</v>
      </c>
      <c r="J11" s="70" t="n">
        <f aca="false">Koszty!J10</f>
        <v>0</v>
      </c>
      <c r="K11" s="70" t="n">
        <f aca="false">Koszty!K10</f>
        <v>0</v>
      </c>
      <c r="L11" s="70" t="n">
        <f aca="false">Koszty!L10</f>
        <v>0</v>
      </c>
      <c r="M11" s="70" t="n">
        <f aca="false">Koszty!M10</f>
        <v>0</v>
      </c>
      <c r="N11" s="70" t="n">
        <f aca="false">Koszty!N10</f>
        <v>0</v>
      </c>
      <c r="O11" s="54" t="n">
        <f aca="false">SUM(C11:N11)</f>
        <v>0</v>
      </c>
    </row>
    <row r="12" customFormat="false" ht="15" hidden="false" customHeight="true" outlineLevel="0" collapsed="false">
      <c r="A12" s="6" t="s">
        <v>404</v>
      </c>
      <c r="C12" s="70" t="n">
        <f aca="false">Koszty!C11</f>
        <v>60</v>
      </c>
      <c r="D12" s="70" t="n">
        <f aca="false">Koszty!D11</f>
        <v>60</v>
      </c>
      <c r="E12" s="70" t="n">
        <f aca="false">Koszty!E11</f>
        <v>60</v>
      </c>
      <c r="F12" s="70" t="n">
        <f aca="false">Koszty!F11</f>
        <v>60</v>
      </c>
      <c r="G12" s="70" t="n">
        <f aca="false">Koszty!G11</f>
        <v>60</v>
      </c>
      <c r="H12" s="70" t="n">
        <f aca="false">Koszty!H11</f>
        <v>60</v>
      </c>
      <c r="I12" s="70" t="n">
        <f aca="false">Koszty!I11</f>
        <v>60</v>
      </c>
      <c r="J12" s="70" t="n">
        <f aca="false">Koszty!J11</f>
        <v>60</v>
      </c>
      <c r="K12" s="70" t="n">
        <f aca="false">Koszty!K11</f>
        <v>60</v>
      </c>
      <c r="L12" s="70" t="n">
        <f aca="false">Koszty!L11</f>
        <v>60</v>
      </c>
      <c r="M12" s="70" t="n">
        <f aca="false">Koszty!M11</f>
        <v>60</v>
      </c>
      <c r="N12" s="70" t="n">
        <f aca="false">Koszty!N11</f>
        <v>60</v>
      </c>
      <c r="O12" s="54" t="n">
        <f aca="false">SUM(C12:N12)</f>
        <v>720</v>
      </c>
    </row>
    <row r="13" customFormat="false" ht="15" hidden="false" customHeight="true" outlineLevel="0" collapsed="false">
      <c r="A13" s="6" t="s">
        <v>405</v>
      </c>
      <c r="C13" s="70" t="n">
        <f aca="false">Koszty!C12</f>
        <v>180</v>
      </c>
      <c r="D13" s="70" t="n">
        <f aca="false">Koszty!D12</f>
        <v>180</v>
      </c>
      <c r="E13" s="70" t="n">
        <f aca="false">Koszty!E12</f>
        <v>180</v>
      </c>
      <c r="F13" s="70" t="n">
        <f aca="false">Koszty!F12</f>
        <v>180</v>
      </c>
      <c r="G13" s="70" t="n">
        <f aca="false">Koszty!G12</f>
        <v>180</v>
      </c>
      <c r="H13" s="70" t="n">
        <f aca="false">Koszty!H12</f>
        <v>180</v>
      </c>
      <c r="I13" s="70" t="n">
        <f aca="false">Koszty!I12</f>
        <v>180</v>
      </c>
      <c r="J13" s="70" t="n">
        <f aca="false">Koszty!J12</f>
        <v>180</v>
      </c>
      <c r="K13" s="70" t="n">
        <f aca="false">Koszty!K12</f>
        <v>180</v>
      </c>
      <c r="L13" s="70" t="n">
        <f aca="false">Koszty!L12</f>
        <v>180</v>
      </c>
      <c r="M13" s="70" t="n">
        <f aca="false">Koszty!M12</f>
        <v>180</v>
      </c>
      <c r="N13" s="70" t="n">
        <f aca="false">Koszty!N12</f>
        <v>180</v>
      </c>
      <c r="O13" s="54" t="n">
        <f aca="false">SUM(C13:N13)</f>
        <v>2160</v>
      </c>
    </row>
    <row r="14" customFormat="false" ht="15" hidden="false" customHeight="true" outlineLevel="0" collapsed="false">
      <c r="A14" s="6" t="s">
        <v>406</v>
      </c>
      <c r="C14" s="70" t="n">
        <f aca="false">Koszty!C13</f>
        <v>60</v>
      </c>
      <c r="D14" s="70" t="n">
        <f aca="false">Koszty!D13</f>
        <v>60</v>
      </c>
      <c r="E14" s="70" t="n">
        <f aca="false">Koszty!E13</f>
        <v>60</v>
      </c>
      <c r="F14" s="70" t="n">
        <f aca="false">Koszty!F13</f>
        <v>60</v>
      </c>
      <c r="G14" s="70" t="n">
        <f aca="false">Koszty!G13</f>
        <v>60</v>
      </c>
      <c r="H14" s="70" t="n">
        <f aca="false">Koszty!H13</f>
        <v>60</v>
      </c>
      <c r="I14" s="70" t="n">
        <f aca="false">Koszty!I13</f>
        <v>60</v>
      </c>
      <c r="J14" s="70" t="n">
        <f aca="false">Koszty!J13</f>
        <v>60</v>
      </c>
      <c r="K14" s="70" t="n">
        <f aca="false">Koszty!K13</f>
        <v>60</v>
      </c>
      <c r="L14" s="70" t="n">
        <f aca="false">Koszty!L13</f>
        <v>60</v>
      </c>
      <c r="M14" s="70" t="n">
        <f aca="false">Koszty!M13</f>
        <v>60</v>
      </c>
      <c r="N14" s="70" t="n">
        <f aca="false">Koszty!N13</f>
        <v>60</v>
      </c>
      <c r="O14" s="54" t="n">
        <f aca="false">SUM(C14:N14)</f>
        <v>720</v>
      </c>
    </row>
    <row r="15" customFormat="false" ht="15" hidden="false" customHeight="true" outlineLevel="0" collapsed="false">
      <c r="A15" s="6" t="s">
        <v>407</v>
      </c>
      <c r="C15" s="70" t="n">
        <f aca="false">Koszty!C14</f>
        <v>400</v>
      </c>
      <c r="D15" s="70" t="n">
        <f aca="false">Koszty!D14</f>
        <v>400</v>
      </c>
      <c r="E15" s="70" t="n">
        <f aca="false">Koszty!E14</f>
        <v>400</v>
      </c>
      <c r="F15" s="70" t="n">
        <f aca="false">Koszty!F14</f>
        <v>400</v>
      </c>
      <c r="G15" s="70" t="n">
        <f aca="false">Koszty!G14</f>
        <v>400</v>
      </c>
      <c r="H15" s="70" t="n">
        <f aca="false">Koszty!H14</f>
        <v>400</v>
      </c>
      <c r="I15" s="70" t="n">
        <f aca="false">Koszty!I14</f>
        <v>400</v>
      </c>
      <c r="J15" s="70" t="n">
        <f aca="false">Koszty!J14</f>
        <v>400</v>
      </c>
      <c r="K15" s="70" t="n">
        <f aca="false">Koszty!K14</f>
        <v>400</v>
      </c>
      <c r="L15" s="70" t="n">
        <f aca="false">Koszty!L14</f>
        <v>400</v>
      </c>
      <c r="M15" s="70" t="n">
        <f aca="false">Koszty!M14</f>
        <v>400</v>
      </c>
      <c r="N15" s="70" t="n">
        <f aca="false">Koszty!N14</f>
        <v>400</v>
      </c>
      <c r="O15" s="54" t="n">
        <f aca="false">SUM(C15:N15)</f>
        <v>4800</v>
      </c>
    </row>
    <row r="16" customFormat="false" ht="15" hidden="false" customHeight="true" outlineLevel="0" collapsed="false">
      <c r="A16" s="6" t="s">
        <v>408</v>
      </c>
      <c r="C16" s="70" t="n">
        <f aca="false">Koszty!C15</f>
        <v>100</v>
      </c>
      <c r="D16" s="70" t="n">
        <f aca="false">Koszty!D15</f>
        <v>100</v>
      </c>
      <c r="E16" s="70" t="n">
        <f aca="false">Koszty!E15</f>
        <v>100</v>
      </c>
      <c r="F16" s="70" t="n">
        <f aca="false">Koszty!F15</f>
        <v>100</v>
      </c>
      <c r="G16" s="70" t="n">
        <f aca="false">Koszty!G15</f>
        <v>100</v>
      </c>
      <c r="H16" s="70" t="n">
        <f aca="false">Koszty!H15</f>
        <v>100</v>
      </c>
      <c r="I16" s="70" t="n">
        <f aca="false">Koszty!I15</f>
        <v>100</v>
      </c>
      <c r="J16" s="70" t="n">
        <f aca="false">Koszty!J15</f>
        <v>100</v>
      </c>
      <c r="K16" s="70" t="n">
        <f aca="false">Koszty!K15</f>
        <v>100</v>
      </c>
      <c r="L16" s="70" t="n">
        <f aca="false">Koszty!L15</f>
        <v>100</v>
      </c>
      <c r="M16" s="70" t="n">
        <f aca="false">Koszty!M15</f>
        <v>100</v>
      </c>
      <c r="N16" s="70" t="n">
        <f aca="false">Koszty!N15</f>
        <v>100</v>
      </c>
      <c r="O16" s="54" t="n">
        <f aca="false">SUM(C16:N16)</f>
        <v>1200</v>
      </c>
    </row>
    <row r="17" customFormat="false" ht="15" hidden="false" customHeight="true" outlineLevel="0" collapsed="false">
      <c r="A17" s="6" t="s">
        <v>409</v>
      </c>
      <c r="C17" s="70" t="n">
        <f aca="false">Koszty!C16</f>
        <v>120</v>
      </c>
      <c r="D17" s="70" t="n">
        <f aca="false">Koszty!D16</f>
        <v>120</v>
      </c>
      <c r="E17" s="70" t="n">
        <f aca="false">Koszty!E16</f>
        <v>120</v>
      </c>
      <c r="F17" s="70" t="n">
        <f aca="false">Koszty!F16</f>
        <v>120</v>
      </c>
      <c r="G17" s="70" t="n">
        <f aca="false">Koszty!G16</f>
        <v>120</v>
      </c>
      <c r="H17" s="70" t="n">
        <f aca="false">Koszty!H16</f>
        <v>120</v>
      </c>
      <c r="I17" s="70" t="n">
        <f aca="false">Koszty!I16</f>
        <v>120</v>
      </c>
      <c r="J17" s="70" t="n">
        <f aca="false">Koszty!J16</f>
        <v>120</v>
      </c>
      <c r="K17" s="70" t="n">
        <f aca="false">Koszty!K16</f>
        <v>120</v>
      </c>
      <c r="L17" s="70" t="n">
        <f aca="false">Koszty!L16</f>
        <v>120</v>
      </c>
      <c r="M17" s="70" t="n">
        <f aca="false">Koszty!M16</f>
        <v>120</v>
      </c>
      <c r="N17" s="70" t="n">
        <f aca="false">Koszty!N16</f>
        <v>120</v>
      </c>
      <c r="O17" s="54" t="n">
        <f aca="false">SUM(C17:N17)</f>
        <v>1440</v>
      </c>
    </row>
    <row r="18" customFormat="false" ht="15" hidden="false" customHeight="true" outlineLevel="0" collapsed="false">
      <c r="A18" s="6" t="s">
        <v>410</v>
      </c>
      <c r="C18" s="70" t="n">
        <f aca="false">Koszty!C30</f>
        <v>0</v>
      </c>
      <c r="D18" s="70" t="n">
        <f aca="false">Koszty!D30</f>
        <v>0</v>
      </c>
      <c r="E18" s="70" t="n">
        <f aca="false">Koszty!E30</f>
        <v>0</v>
      </c>
      <c r="F18" s="70" t="n">
        <f aca="false">Koszty!F30</f>
        <v>0</v>
      </c>
      <c r="G18" s="70" t="n">
        <f aca="false">Koszty!G30</f>
        <v>0</v>
      </c>
      <c r="H18" s="70" t="n">
        <f aca="false">Koszty!H30</f>
        <v>0</v>
      </c>
      <c r="I18" s="70" t="n">
        <f aca="false">Koszty!I30</f>
        <v>456.18</v>
      </c>
      <c r="J18" s="70" t="n">
        <f aca="false">Koszty!J30</f>
        <v>456.18</v>
      </c>
      <c r="K18" s="70" t="n">
        <f aca="false">Koszty!K30</f>
        <v>456.18</v>
      </c>
      <c r="L18" s="70" t="n">
        <f aca="false">Koszty!L30</f>
        <v>456.18</v>
      </c>
      <c r="M18" s="70" t="n">
        <f aca="false">Koszty!M30</f>
        <v>456.18</v>
      </c>
      <c r="N18" s="70" t="n">
        <f aca="false">Koszty!N30</f>
        <v>456.18</v>
      </c>
      <c r="O18" s="54" t="n">
        <f aca="false">SUM(C18:N18)</f>
        <v>2737.08</v>
      </c>
    </row>
    <row r="19" customFormat="false" ht="15" hidden="false" customHeight="true" outlineLevel="0" collapsed="false">
      <c r="A19" s="6" t="s">
        <v>411</v>
      </c>
      <c r="C19" s="70" t="n">
        <f aca="false">Koszty!C40</f>
        <v>498.35</v>
      </c>
      <c r="D19" s="70" t="n">
        <f aca="false">Koszty!D40</f>
        <v>498.35</v>
      </c>
      <c r="E19" s="70" t="n">
        <f aca="false">Koszty!E40</f>
        <v>498.35</v>
      </c>
      <c r="F19" s="70" t="n">
        <f aca="false">Koszty!F40</f>
        <v>498.35</v>
      </c>
      <c r="G19" s="70" t="n">
        <f aca="false">Koszty!G40</f>
        <v>498.35</v>
      </c>
      <c r="H19" s="70" t="n">
        <f aca="false">Koszty!H40</f>
        <v>498.35</v>
      </c>
      <c r="I19" s="70" t="n">
        <f aca="false">Koszty!I40</f>
        <v>498.35</v>
      </c>
      <c r="J19" s="70" t="n">
        <f aca="false">Koszty!J40</f>
        <v>498.35</v>
      </c>
      <c r="K19" s="70" t="n">
        <f aca="false">Koszty!K40</f>
        <v>830.58</v>
      </c>
      <c r="L19" s="70" t="n">
        <f aca="false">Koszty!L40</f>
        <v>830.58</v>
      </c>
      <c r="M19" s="70" t="n">
        <f aca="false">Koszty!M40</f>
        <v>498.35</v>
      </c>
      <c r="N19" s="70" t="n">
        <f aca="false">Koszty!N40</f>
        <v>498.35</v>
      </c>
      <c r="O19" s="54" t="n">
        <f aca="false">SUM(C19:N19)</f>
        <v>6644.66</v>
      </c>
    </row>
    <row r="20" customFormat="false" ht="15" hidden="false" customHeight="true" outlineLevel="0" collapsed="false">
      <c r="A20" s="40" t="s">
        <v>412</v>
      </c>
      <c r="B20" s="40"/>
      <c r="C20" s="68" t="n">
        <f aca="false">Koszty!C49</f>
        <v>2641.1</v>
      </c>
      <c r="D20" s="68" t="n">
        <f aca="false">Koszty!D49</f>
        <v>4696.4</v>
      </c>
      <c r="E20" s="68" t="n">
        <f aca="false">Koszty!E49</f>
        <v>4956.8</v>
      </c>
      <c r="F20" s="68" t="n">
        <f aca="false">Koszty!F49</f>
        <v>5528.75</v>
      </c>
      <c r="G20" s="68" t="n">
        <f aca="false">Koszty!G49</f>
        <v>4738.25</v>
      </c>
      <c r="H20" s="68" t="n">
        <f aca="false">Koszty!H49</f>
        <v>4738.25</v>
      </c>
      <c r="I20" s="68" t="n">
        <f aca="false">Koszty!I49</f>
        <v>5072.57</v>
      </c>
      <c r="J20" s="68" t="n">
        <f aca="false">Koszty!J49</f>
        <v>5332.97</v>
      </c>
      <c r="K20" s="68" t="n">
        <f aca="false">Koszty!K49</f>
        <v>5000.74</v>
      </c>
      <c r="L20" s="68" t="n">
        <f aca="false">Koszty!L49</f>
        <v>5572.69</v>
      </c>
      <c r="M20" s="68" t="n">
        <f aca="false">Koszty!M49</f>
        <v>4282.07</v>
      </c>
      <c r="N20" s="68" t="n">
        <f aca="false">Koszty!N49</f>
        <v>4282.07</v>
      </c>
      <c r="O20" s="69" t="n">
        <f aca="false">SUM(C20:N20)</f>
        <v>56842.66</v>
      </c>
    </row>
    <row r="21" customFormat="false" ht="15" hidden="false" customHeight="true" outlineLevel="0" collapsed="false">
      <c r="A21" s="6" t="s">
        <v>413</v>
      </c>
      <c r="C21" s="70" t="n">
        <f aca="false">Koszty!C47</f>
        <v>350</v>
      </c>
      <c r="D21" s="70" t="n">
        <f aca="false">Koszty!D47</f>
        <v>538</v>
      </c>
      <c r="E21" s="70" t="n">
        <f aca="false">Koszty!E47</f>
        <v>561</v>
      </c>
      <c r="F21" s="70" t="n">
        <f aca="false">Koszty!F47</f>
        <v>614</v>
      </c>
      <c r="G21" s="70" t="n">
        <f aca="false">Koszty!G47</f>
        <v>541</v>
      </c>
      <c r="H21" s="70" t="n">
        <f aca="false">Koszty!H47</f>
        <v>542</v>
      </c>
      <c r="I21" s="70" t="n">
        <f aca="false">Koszty!I47</f>
        <v>575</v>
      </c>
      <c r="J21" s="70" t="n">
        <f aca="false">Koszty!J47</f>
        <v>599</v>
      </c>
      <c r="K21" s="70" t="n">
        <f aca="false">Koszty!K47</f>
        <v>584</v>
      </c>
      <c r="L21" s="70" t="n">
        <f aca="false">Koszty!L47</f>
        <v>637</v>
      </c>
      <c r="M21" s="70" t="n">
        <f aca="false">Koszty!M47</f>
        <v>503</v>
      </c>
      <c r="N21" s="70" t="n">
        <f aca="false">Koszty!N47</f>
        <v>502</v>
      </c>
      <c r="O21" s="54" t="n">
        <f aca="false">SUM(C21:N21)</f>
        <v>6546</v>
      </c>
    </row>
    <row r="22" customFormat="false" ht="15" hidden="false" customHeight="true" outlineLevel="0" collapsed="false">
      <c r="A22" s="40" t="s">
        <v>414</v>
      </c>
      <c r="B22" s="40"/>
      <c r="C22" s="68" t="n">
        <f aca="false">Koszty!C50</f>
        <v>2291.1</v>
      </c>
      <c r="D22" s="68" t="n">
        <f aca="false">Koszty!D50</f>
        <v>4158.4</v>
      </c>
      <c r="E22" s="68" t="n">
        <f aca="false">Koszty!E50</f>
        <v>4395.8</v>
      </c>
      <c r="F22" s="68" t="n">
        <f aca="false">Koszty!F50</f>
        <v>4914.75</v>
      </c>
      <c r="G22" s="68" t="n">
        <f aca="false">Koszty!G50</f>
        <v>4197.25</v>
      </c>
      <c r="H22" s="68" t="n">
        <f aca="false">Koszty!H50</f>
        <v>4196.25</v>
      </c>
      <c r="I22" s="68" t="n">
        <f aca="false">Koszty!I50</f>
        <v>4497.57</v>
      </c>
      <c r="J22" s="68" t="n">
        <f aca="false">Koszty!J50</f>
        <v>4733.97</v>
      </c>
      <c r="K22" s="68" t="n">
        <f aca="false">Koszty!K50</f>
        <v>4416.74</v>
      </c>
      <c r="L22" s="68" t="n">
        <f aca="false">Koszty!L50</f>
        <v>4935.69</v>
      </c>
      <c r="M22" s="68" t="n">
        <f aca="false">Koszty!M50</f>
        <v>3779.07</v>
      </c>
      <c r="N22" s="68" t="n">
        <f aca="false">Koszty!N50</f>
        <v>3780.07</v>
      </c>
      <c r="O22" s="69" t="n">
        <f aca="false">SUM(C22:N22)</f>
        <v>50296.66</v>
      </c>
    </row>
    <row r="25" customFormat="false" ht="15" hidden="false" customHeight="true" outlineLevel="0" collapsed="false">
      <c r="A25" s="16" t="s">
        <v>415</v>
      </c>
    </row>
    <row r="26" customFormat="false" ht="31.5" hidden="false" customHeight="true" outlineLevel="0" collapsed="false">
      <c r="A26" s="4" t="s">
        <v>416</v>
      </c>
      <c r="B26" s="4"/>
      <c r="C26" s="4" t="s">
        <v>417</v>
      </c>
      <c r="D26" s="4" t="s">
        <v>418</v>
      </c>
      <c r="E26" s="4" t="s">
        <v>419</v>
      </c>
      <c r="F26" s="4" t="s">
        <v>420</v>
      </c>
      <c r="G26" s="4" t="s">
        <v>300</v>
      </c>
    </row>
    <row r="27" customFormat="false" ht="15" hidden="false" customHeight="true" outlineLevel="0" collapsed="false">
      <c r="A27" s="71" t="str">
        <f aca="false">A7</f>
        <v>Przychody ze sprzedaży</v>
      </c>
      <c r="B27" s="40"/>
      <c r="C27" s="69" t="n">
        <f aca="false">SUM(C7:E7)</f>
        <v>17795</v>
      </c>
      <c r="D27" s="69" t="n">
        <f aca="false">SUM(F7:H7)</f>
        <v>20710</v>
      </c>
      <c r="E27" s="69" t="n">
        <f aca="false">SUM(I7:K7)</f>
        <v>22970</v>
      </c>
      <c r="F27" s="69" t="n">
        <f aca="false">SUM(L7:N7)</f>
        <v>21605</v>
      </c>
      <c r="G27" s="69" t="n">
        <f aca="false">SUM(C27:F27)</f>
        <v>83080</v>
      </c>
    </row>
    <row r="28" customFormat="false" ht="15" hidden="false" customHeight="true" outlineLevel="0" collapsed="false">
      <c r="A28" s="71" t="str">
        <f aca="false">A8</f>
        <v>Koszty razem, w tym:</v>
      </c>
      <c r="B28" s="40"/>
      <c r="C28" s="69" t="n">
        <f aca="false">SUM(C8:E8)</f>
        <v>5500.7</v>
      </c>
      <c r="D28" s="69" t="n">
        <f aca="false">SUM(F8:H8)</f>
        <v>5704.75</v>
      </c>
      <c r="E28" s="69" t="n">
        <f aca="false">SUM(I8:K8)</f>
        <v>7563.72</v>
      </c>
      <c r="F28" s="69" t="n">
        <f aca="false">SUM(L8:N8)</f>
        <v>7468.17</v>
      </c>
      <c r="G28" s="69" t="n">
        <f aca="false">SUM(C28:F28)</f>
        <v>26237.34</v>
      </c>
    </row>
    <row r="29" customFormat="false" ht="15" hidden="false" customHeight="true" outlineLevel="0" collapsed="false">
      <c r="A29" s="10" t="str">
        <f aca="false">A9</f>
        <v>– zakup materiałów i towarów</v>
      </c>
      <c r="C29" s="54" t="n">
        <f aca="false">SUM(C9:E9)</f>
        <v>1245.65</v>
      </c>
      <c r="D29" s="54" t="n">
        <f aca="false">SUM(F9:H9)</f>
        <v>1449.7</v>
      </c>
      <c r="E29" s="54" t="n">
        <f aca="false">SUM(I9:K9)</f>
        <v>1607.9</v>
      </c>
      <c r="F29" s="54" t="n">
        <f aca="false">SUM(L9:N9)</f>
        <v>1512.35</v>
      </c>
      <c r="G29" s="54" t="n">
        <f aca="false">SUM(C29:F29)</f>
        <v>5815.6</v>
      </c>
    </row>
    <row r="30" customFormat="false" ht="15" hidden="false" customHeight="true" outlineLevel="0" collapsed="false">
      <c r="A30" s="10" t="str">
        <f aca="false">A10</f>
        <v>– czynsz / najem lokalu (nie dotyczy – sprzęt w garażu własnym)</v>
      </c>
      <c r="C30" s="54" t="n">
        <f aca="false">SUM(C10:E10)</f>
        <v>0</v>
      </c>
      <c r="D30" s="54" t="n">
        <f aca="false">SUM(F10:H10)</f>
        <v>0</v>
      </c>
      <c r="E30" s="54" t="n">
        <f aca="false">SUM(I10:K10)</f>
        <v>0</v>
      </c>
      <c r="F30" s="54" t="n">
        <f aca="false">SUM(L10:N10)</f>
        <v>0</v>
      </c>
      <c r="G30" s="54" t="n">
        <f aca="false">SUM(C30:F30)</f>
        <v>0</v>
      </c>
    </row>
    <row r="31" customFormat="false" ht="15" hidden="false" customHeight="true" outlineLevel="0" collapsed="false">
      <c r="A31" s="10" t="str">
        <f aca="false">A11</f>
        <v>– media (nie dotyczy)</v>
      </c>
      <c r="C31" s="54" t="n">
        <f aca="false">SUM(C11:E11)</f>
        <v>0</v>
      </c>
      <c r="D31" s="54" t="n">
        <f aca="false">SUM(F11:H11)</f>
        <v>0</v>
      </c>
      <c r="E31" s="54" t="n">
        <f aca="false">SUM(I11:K11)</f>
        <v>0</v>
      </c>
      <c r="F31" s="54" t="n">
        <f aca="false">SUM(L11:N11)</f>
        <v>0</v>
      </c>
      <c r="G31" s="54" t="n">
        <f aca="false">SUM(C31:F31)</f>
        <v>0</v>
      </c>
    </row>
    <row r="32" customFormat="false" ht="15" hidden="false" customHeight="true" outlineLevel="0" collapsed="false">
      <c r="A32" s="10" t="str">
        <f aca="false">A12</f>
        <v>– telefon i internet</v>
      </c>
      <c r="C32" s="54" t="n">
        <f aca="false">SUM(C12:E12)</f>
        <v>180</v>
      </c>
      <c r="D32" s="54" t="n">
        <f aca="false">SUM(F12:H12)</f>
        <v>180</v>
      </c>
      <c r="E32" s="54" t="n">
        <f aca="false">SUM(I12:K12)</f>
        <v>180</v>
      </c>
      <c r="F32" s="54" t="n">
        <f aca="false">SUM(L12:N12)</f>
        <v>180</v>
      </c>
      <c r="G32" s="54" t="n">
        <f aca="false">SUM(C32:F32)</f>
        <v>720</v>
      </c>
    </row>
    <row r="33" customFormat="false" ht="15" hidden="false" customHeight="true" outlineLevel="0" collapsed="false">
      <c r="A33" s="10" t="str">
        <f aca="false">A13</f>
        <v>– księgowość (biuro rachunkowe, ryczałt)</v>
      </c>
      <c r="C33" s="54" t="n">
        <f aca="false">SUM(C13:E13)</f>
        <v>540</v>
      </c>
      <c r="D33" s="54" t="n">
        <f aca="false">SUM(F13:H13)</f>
        <v>540</v>
      </c>
      <c r="E33" s="54" t="n">
        <f aca="false">SUM(I13:K13)</f>
        <v>540</v>
      </c>
      <c r="F33" s="54" t="n">
        <f aca="false">SUM(L13:N13)</f>
        <v>540</v>
      </c>
      <c r="G33" s="54" t="n">
        <f aca="false">SUM(C33:F33)</f>
        <v>2160</v>
      </c>
    </row>
    <row r="34" customFormat="false" ht="15" hidden="false" customHeight="true" outlineLevel="0" collapsed="false">
      <c r="A34" s="10" t="str">
        <f aca="false">A14</f>
        <v>– ubezpieczenie OC działalności</v>
      </c>
      <c r="C34" s="54" t="n">
        <f aca="false">SUM(C14:E14)</f>
        <v>180</v>
      </c>
      <c r="D34" s="54" t="n">
        <f aca="false">SUM(F14:H14)</f>
        <v>180</v>
      </c>
      <c r="E34" s="54" t="n">
        <f aca="false">SUM(I14:K14)</f>
        <v>180</v>
      </c>
      <c r="F34" s="54" t="n">
        <f aca="false">SUM(L14:N14)</f>
        <v>180</v>
      </c>
      <c r="G34" s="54" t="n">
        <f aca="false">SUM(C34:F34)</f>
        <v>720</v>
      </c>
    </row>
    <row r="35" customFormat="false" ht="15" hidden="false" customHeight="true" outlineLevel="0" collapsed="false">
      <c r="A35" s="10" t="str">
        <f aca="false">A15</f>
        <v>– paliwo i eksploatacja auta</v>
      </c>
      <c r="C35" s="54" t="n">
        <f aca="false">SUM(C15:E15)</f>
        <v>1200</v>
      </c>
      <c r="D35" s="54" t="n">
        <f aca="false">SUM(F15:H15)</f>
        <v>1200</v>
      </c>
      <c r="E35" s="54" t="n">
        <f aca="false">SUM(I15:K15)</f>
        <v>1200</v>
      </c>
      <c r="F35" s="54" t="n">
        <f aca="false">SUM(L15:N15)</f>
        <v>1200</v>
      </c>
      <c r="G35" s="54" t="n">
        <f aca="false">SUM(C35:F35)</f>
        <v>4800</v>
      </c>
    </row>
    <row r="36" customFormat="false" ht="15" hidden="false" customHeight="true" outlineLevel="0" collapsed="false">
      <c r="A36" s="10" t="str">
        <f aca="false">A16</f>
        <v>– reklama bieżąca</v>
      </c>
      <c r="C36" s="54" t="n">
        <f aca="false">SUM(C16:E16)</f>
        <v>300</v>
      </c>
      <c r="D36" s="54" t="n">
        <f aca="false">SUM(F16:H16)</f>
        <v>300</v>
      </c>
      <c r="E36" s="54" t="n">
        <f aca="false">SUM(I16:K16)</f>
        <v>300</v>
      </c>
      <c r="F36" s="54" t="n">
        <f aca="false">SUM(L16:N16)</f>
        <v>300</v>
      </c>
      <c r="G36" s="54" t="n">
        <f aca="false">SUM(C36:F36)</f>
        <v>1200</v>
      </c>
    </row>
    <row r="37" customFormat="false" ht="15" hidden="false" customHeight="true" outlineLevel="0" collapsed="false">
      <c r="A37" s="10" t="str">
        <f aca="false">A17</f>
        <v>– inne (worki, rękawice, konto firmowe, drobne naprawy)</v>
      </c>
      <c r="C37" s="54" t="n">
        <f aca="false">SUM(C17:E17)</f>
        <v>360</v>
      </c>
      <c r="D37" s="54" t="n">
        <f aca="false">SUM(F17:H17)</f>
        <v>360</v>
      </c>
      <c r="E37" s="54" t="n">
        <f aca="false">SUM(I17:K17)</f>
        <v>360</v>
      </c>
      <c r="F37" s="54" t="n">
        <f aca="false">SUM(L17:N17)</f>
        <v>360</v>
      </c>
      <c r="G37" s="54" t="n">
        <f aca="false">SUM(C37:F37)</f>
        <v>1440</v>
      </c>
    </row>
    <row r="38" customFormat="false" ht="15" hidden="false" customHeight="true" outlineLevel="0" collapsed="false">
      <c r="A38" s="10" t="str">
        <f aca="false">A18</f>
        <v>– składki ZUS (społeczne)</v>
      </c>
      <c r="C38" s="54" t="n">
        <f aca="false">SUM(C18:E18)</f>
        <v>0</v>
      </c>
      <c r="D38" s="54" t="n">
        <f aca="false">SUM(F18:H18)</f>
        <v>0</v>
      </c>
      <c r="E38" s="54" t="n">
        <f aca="false">SUM(I18:K18)</f>
        <v>1368.54</v>
      </c>
      <c r="F38" s="54" t="n">
        <f aca="false">SUM(L18:N18)</f>
        <v>1368.54</v>
      </c>
      <c r="G38" s="54" t="n">
        <f aca="false">SUM(C38:F38)</f>
        <v>2737.08</v>
      </c>
    </row>
    <row r="39" customFormat="false" ht="15" hidden="false" customHeight="true" outlineLevel="0" collapsed="false">
      <c r="A39" s="10" t="str">
        <f aca="false">A19</f>
        <v>– składka zdrowotna</v>
      </c>
      <c r="C39" s="54" t="n">
        <f aca="false">SUM(C19:E19)</f>
        <v>1495.05</v>
      </c>
      <c r="D39" s="54" t="n">
        <f aca="false">SUM(F19:H19)</f>
        <v>1495.05</v>
      </c>
      <c r="E39" s="54" t="n">
        <f aca="false">SUM(I19:K19)</f>
        <v>1827.28</v>
      </c>
      <c r="F39" s="54" t="n">
        <f aca="false">SUM(L19:N19)</f>
        <v>1827.28</v>
      </c>
      <c r="G39" s="54" t="n">
        <f aca="false">SUM(C39:F39)</f>
        <v>6644.66</v>
      </c>
    </row>
    <row r="40" customFormat="false" ht="15" hidden="false" customHeight="true" outlineLevel="0" collapsed="false">
      <c r="A40" s="71" t="str">
        <f aca="false">A20</f>
        <v>Dochód (przychody − koszty)</v>
      </c>
      <c r="B40" s="40"/>
      <c r="C40" s="69" t="n">
        <f aca="false">SUM(C20:E20)</f>
        <v>12294.3</v>
      </c>
      <c r="D40" s="69" t="n">
        <f aca="false">SUM(F20:H20)</f>
        <v>15005.25</v>
      </c>
      <c r="E40" s="69" t="n">
        <f aca="false">SUM(I20:K20)</f>
        <v>15406.28</v>
      </c>
      <c r="F40" s="69" t="n">
        <f aca="false">SUM(L20:N20)</f>
        <v>14136.83</v>
      </c>
      <c r="G40" s="69" t="n">
        <f aca="false">SUM(C40:F40)</f>
        <v>56842.66</v>
      </c>
    </row>
    <row r="41" customFormat="false" ht="15" hidden="false" customHeight="true" outlineLevel="0" collapsed="false">
      <c r="A41" s="10" t="str">
        <f aca="false">A21</f>
        <v>Podatek dochodowy</v>
      </c>
      <c r="C41" s="54" t="n">
        <f aca="false">SUM(C21:E21)</f>
        <v>1449</v>
      </c>
      <c r="D41" s="54" t="n">
        <f aca="false">SUM(F21:H21)</f>
        <v>1697</v>
      </c>
      <c r="E41" s="54" t="n">
        <f aca="false">SUM(I21:K21)</f>
        <v>1758</v>
      </c>
      <c r="F41" s="54" t="n">
        <f aca="false">SUM(L21:N21)</f>
        <v>1642</v>
      </c>
      <c r="G41" s="54" t="n">
        <f aca="false">SUM(C41:F41)</f>
        <v>6546</v>
      </c>
    </row>
    <row r="42" customFormat="false" ht="15" hidden="false" customHeight="true" outlineLevel="0" collapsed="false">
      <c r="A42" s="71" t="str">
        <f aca="false">A22</f>
        <v>Dochód netto (po podatku)</v>
      </c>
      <c r="B42" s="40"/>
      <c r="C42" s="69" t="n">
        <f aca="false">SUM(C22:E22)</f>
        <v>10845.3</v>
      </c>
      <c r="D42" s="69" t="n">
        <f aca="false">SUM(F22:H22)</f>
        <v>13308.25</v>
      </c>
      <c r="E42" s="69" t="n">
        <f aca="false">SUM(I22:K22)</f>
        <v>13648.28</v>
      </c>
      <c r="F42" s="69" t="n">
        <f aca="false">SUM(L22:N22)</f>
        <v>12494.83</v>
      </c>
      <c r="G42" s="69" t="n">
        <f aca="false">SUM(C42:F42)</f>
        <v>50296.66</v>
      </c>
    </row>
    <row r="43" customFormat="false" ht="15" hidden="false" customHeight="true" outlineLevel="0" collapsed="false">
      <c r="A43" s="6" t="s">
        <v>421</v>
      </c>
      <c r="G43" s="10" t="str">
        <f aca="false">IF(ABS(G27-O7)&lt;0.01,"OK","BŁĄD")</f>
        <v>OK</v>
      </c>
    </row>
    <row r="46" customFormat="false" ht="15" hidden="false" customHeight="true" outlineLevel="0" collapsed="false">
      <c r="A46" s="16" t="s">
        <v>422</v>
      </c>
    </row>
    <row r="47" customFormat="false" ht="31.5" hidden="false" customHeight="true" outlineLevel="0" collapsed="false">
      <c r="A47" s="4" t="s">
        <v>203</v>
      </c>
      <c r="B47" s="4" t="s">
        <v>423</v>
      </c>
      <c r="C47" s="4" t="s">
        <v>205</v>
      </c>
      <c r="D47" s="4" t="s">
        <v>206</v>
      </c>
      <c r="E47" s="4" t="s">
        <v>207</v>
      </c>
      <c r="F47" s="4" t="s">
        <v>424</v>
      </c>
      <c r="G47" s="4" t="s">
        <v>425</v>
      </c>
      <c r="H47" s="4" t="s">
        <v>426</v>
      </c>
      <c r="I47" s="4" t="s">
        <v>427</v>
      </c>
      <c r="J47" s="4" t="s">
        <v>428</v>
      </c>
    </row>
    <row r="48" customFormat="false" ht="15" hidden="false" customHeight="true" outlineLevel="0" collapsed="false">
      <c r="A48" s="72" t="n">
        <f aca="false">IF(Kosztorys!B5="","",Kosztorys!A5)</f>
        <v>1</v>
      </c>
      <c r="B48" s="11" t="str">
        <f aca="false">IF(Kosztorys!B5="","",Kosztorys!B5)</f>
        <v>Odkurzacz piorący Kärcher Puzzi 10/1</v>
      </c>
      <c r="C48" s="11" t="str">
        <f aca="false">IF(Kosztorys!B5="","",Kosztorys!C5)</f>
        <v>sprzęt</v>
      </c>
      <c r="D48" s="11" t="str">
        <f aca="false">IF(Kosztorys!B5="","",Kosztorys!D5)</f>
        <v>nowy</v>
      </c>
      <c r="E48" s="70" t="n">
        <f aca="false">Kosztorys!E5</f>
        <v>1</v>
      </c>
      <c r="F48" s="42" t="n">
        <f aca="false">Kosztorys!G5</f>
        <v>3900</v>
      </c>
      <c r="G48" s="42" t="n">
        <f aca="false">Kosztorys!I5</f>
        <v>897</v>
      </c>
      <c r="H48" s="42" t="n">
        <f aca="false">Kosztorys!J5</f>
        <v>4797</v>
      </c>
      <c r="I48" s="11" t="str">
        <f aca="false">IF(Kosztorys!B5="","",Kosztorys!M5)</f>
        <v>dotacja</v>
      </c>
      <c r="J48" s="42" t="n">
        <f aca="false">IF(Kosztorys!M5="dotacja",Kosztorys!K5,0)</f>
        <v>4797</v>
      </c>
    </row>
    <row r="49" customFormat="false" ht="15" hidden="false" customHeight="true" outlineLevel="0" collapsed="false">
      <c r="A49" s="72" t="n">
        <f aca="false">IF(Kosztorys!B6="","",Kosztorys!A6)</f>
        <v>2</v>
      </c>
      <c r="B49" s="11" t="str">
        <f aca="false">IF(Kosztorys!B6="","",Kosztorys!B6)</f>
        <v>Odkurzacz plecakowy Kärcher BV 5/1 Bp (schody, klatki)</v>
      </c>
      <c r="C49" s="11" t="str">
        <f aca="false">IF(Kosztorys!B6="","",Kosztorys!C6)</f>
        <v>sprzęt</v>
      </c>
      <c r="D49" s="11" t="str">
        <f aca="false">IF(Kosztorys!B6="","",Kosztorys!D6)</f>
        <v>nowy</v>
      </c>
      <c r="E49" s="70" t="n">
        <f aca="false">Kosztorys!E6</f>
        <v>1</v>
      </c>
      <c r="F49" s="42" t="n">
        <f aca="false">Kosztorys!G6</f>
        <v>1550</v>
      </c>
      <c r="G49" s="42" t="n">
        <f aca="false">Kosztorys!I6</f>
        <v>356.5</v>
      </c>
      <c r="H49" s="42" t="n">
        <f aca="false">Kosztorys!J6</f>
        <v>1906.5</v>
      </c>
      <c r="I49" s="11" t="str">
        <f aca="false">IF(Kosztorys!B6="","",Kosztorys!M6)</f>
        <v>dotacja</v>
      </c>
      <c r="J49" s="42" t="n">
        <f aca="false">IF(Kosztorys!M6="dotacja",Kosztorys!K6,0)</f>
        <v>1906.5</v>
      </c>
    </row>
    <row r="50" customFormat="false" ht="15" hidden="false" customHeight="true" outlineLevel="0" collapsed="false">
      <c r="A50" s="72" t="n">
        <f aca="false">IF(Kosztorys!B7="","",Kosztorys!A7)</f>
        <v>3</v>
      </c>
      <c r="B50" s="11" t="str">
        <f aca="false">IF(Kosztorys!B7="","",Kosztorys!B7)</f>
        <v>Odkurzacz na sucho Kärcher T 10/1 Adv HEPA</v>
      </c>
      <c r="C50" s="11" t="str">
        <f aca="false">IF(Kosztorys!B7="","",Kosztorys!C7)</f>
        <v>sprzęt</v>
      </c>
      <c r="D50" s="11" t="str">
        <f aca="false">IF(Kosztorys!B7="","",Kosztorys!D7)</f>
        <v>nowy</v>
      </c>
      <c r="E50" s="70" t="n">
        <f aca="false">Kosztorys!E7</f>
        <v>1</v>
      </c>
      <c r="F50" s="42" t="n">
        <f aca="false">Kosztorys!G7</f>
        <v>1100</v>
      </c>
      <c r="G50" s="42" t="n">
        <f aca="false">Kosztorys!I7</f>
        <v>253</v>
      </c>
      <c r="H50" s="42" t="n">
        <f aca="false">Kosztorys!J7</f>
        <v>1353</v>
      </c>
      <c r="I50" s="11" t="str">
        <f aca="false">IF(Kosztorys!B7="","",Kosztorys!M7)</f>
        <v>dotacja</v>
      </c>
      <c r="J50" s="42" t="n">
        <f aca="false">IF(Kosztorys!M7="dotacja",Kosztorys!K7,0)</f>
        <v>1353</v>
      </c>
    </row>
    <row r="51" customFormat="false" ht="15" hidden="false" customHeight="true" outlineLevel="0" collapsed="false">
      <c r="A51" s="72" t="n">
        <f aca="false">IF(Kosztorys!B8="","",Kosztorys!A8)</f>
        <v>4</v>
      </c>
      <c r="B51" s="11" t="str">
        <f aca="false">IF(Kosztorys!B8="","",Kosztorys!B8)</f>
        <v>Szorowarka kompaktowa Kärcher BR 30/4 C</v>
      </c>
      <c r="C51" s="11" t="str">
        <f aca="false">IF(Kosztorys!B8="","",Kosztorys!C8)</f>
        <v>sprzęt</v>
      </c>
      <c r="D51" s="11" t="str">
        <f aca="false">IF(Kosztorys!B8="","",Kosztorys!D8)</f>
        <v>nowy</v>
      </c>
      <c r="E51" s="70" t="n">
        <f aca="false">Kosztorys!E8</f>
        <v>1</v>
      </c>
      <c r="F51" s="42" t="n">
        <f aca="false">Kosztorys!G8</f>
        <v>6900</v>
      </c>
      <c r="G51" s="42" t="n">
        <f aca="false">Kosztorys!I8</f>
        <v>1587</v>
      </c>
      <c r="H51" s="42" t="n">
        <f aca="false">Kosztorys!J8</f>
        <v>8487</v>
      </c>
      <c r="I51" s="11" t="str">
        <f aca="false">IF(Kosztorys!B8="","",Kosztorys!M8)</f>
        <v>dotacja</v>
      </c>
      <c r="J51" s="42" t="n">
        <f aca="false">IF(Kosztorys!M8="dotacja",Kosztorys!K8,0)</f>
        <v>8487</v>
      </c>
    </row>
    <row r="52" customFormat="false" ht="15" hidden="false" customHeight="true" outlineLevel="0" collapsed="false">
      <c r="A52" s="72" t="n">
        <f aca="false">IF(Kosztorys!B9="","",Kosztorys!A9)</f>
        <v>5</v>
      </c>
      <c r="B52" s="11" t="str">
        <f aca="false">IF(Kosztorys!B9="","",Kosztorys!B9)</f>
        <v>Myjka do okien Kärcher WV 6 Plus</v>
      </c>
      <c r="C52" s="11" t="str">
        <f aca="false">IF(Kosztorys!B9="","",Kosztorys!C9)</f>
        <v>sprzęt</v>
      </c>
      <c r="D52" s="11" t="str">
        <f aca="false">IF(Kosztorys!B9="","",Kosztorys!D9)</f>
        <v>nowy</v>
      </c>
      <c r="E52" s="70" t="n">
        <f aca="false">Kosztorys!E9</f>
        <v>1</v>
      </c>
      <c r="F52" s="42" t="n">
        <f aca="false">Kosztorys!G9</f>
        <v>400</v>
      </c>
      <c r="G52" s="42" t="n">
        <f aca="false">Kosztorys!I9</f>
        <v>92</v>
      </c>
      <c r="H52" s="42" t="n">
        <f aca="false">Kosztorys!J9</f>
        <v>492</v>
      </c>
      <c r="I52" s="11" t="str">
        <f aca="false">IF(Kosztorys!B9="","",Kosztorys!M9)</f>
        <v>dotacja</v>
      </c>
      <c r="J52" s="42" t="n">
        <f aca="false">IF(Kosztorys!M9="dotacja",Kosztorys!K9,0)</f>
        <v>492</v>
      </c>
    </row>
    <row r="53" customFormat="false" ht="15" hidden="false" customHeight="true" outlineLevel="0" collapsed="false">
      <c r="A53" s="72" t="n">
        <f aca="false">IF(Kosztorys!B10="","",Kosztorys!A10)</f>
        <v>6</v>
      </c>
      <c r="B53" s="11" t="str">
        <f aca="false">IF(Kosztorys!B10="","",Kosztorys!B10)</f>
        <v>Wózek serwisowy z prasą do mopów i workiem na odpady</v>
      </c>
      <c r="C53" s="11" t="str">
        <f aca="false">IF(Kosztorys!B10="","",Kosztorys!C10)</f>
        <v>sprzęt</v>
      </c>
      <c r="D53" s="11" t="str">
        <f aca="false">IF(Kosztorys!B10="","",Kosztorys!D10)</f>
        <v>nowy</v>
      </c>
      <c r="E53" s="70" t="n">
        <f aca="false">Kosztorys!E10</f>
        <v>1</v>
      </c>
      <c r="F53" s="42" t="n">
        <f aca="false">Kosztorys!G10</f>
        <v>1100</v>
      </c>
      <c r="G53" s="42" t="n">
        <f aca="false">Kosztorys!I10</f>
        <v>253</v>
      </c>
      <c r="H53" s="42" t="n">
        <f aca="false">Kosztorys!J10</f>
        <v>1353</v>
      </c>
      <c r="I53" s="11" t="str">
        <f aca="false">IF(Kosztorys!B10="","",Kosztorys!M10)</f>
        <v>dotacja</v>
      </c>
      <c r="J53" s="42" t="n">
        <f aca="false">IF(Kosztorys!M10="dotacja",Kosztorys!K10,0)</f>
        <v>1353</v>
      </c>
    </row>
    <row r="54" customFormat="false" ht="15" hidden="false" customHeight="true" outlineLevel="0" collapsed="false">
      <c r="A54" s="72" t="n">
        <f aca="false">IF(Kosztorys!B11="","",Kosztorys!A11)</f>
        <v>7</v>
      </c>
      <c r="B54" s="11" t="str">
        <f aca="false">IF(Kosztorys!B11="","",Kosztorys!B11)</f>
        <v>Mopy płaskie i ściereczki z mikrofibry w 4 kolorach (system stref), uchwyty</v>
      </c>
      <c r="C54" s="11" t="str">
        <f aca="false">IF(Kosztorys!B11="","",Kosztorys!C11)</f>
        <v>inne</v>
      </c>
      <c r="D54" s="11" t="str">
        <f aca="false">IF(Kosztorys!B11="","",Kosztorys!D11)</f>
        <v>nowy</v>
      </c>
      <c r="E54" s="70" t="n">
        <f aca="false">Kosztorys!E11</f>
        <v>1</v>
      </c>
      <c r="F54" s="42" t="n">
        <f aca="false">Kosztorys!G11</f>
        <v>650</v>
      </c>
      <c r="G54" s="42" t="n">
        <f aca="false">Kosztorys!I11</f>
        <v>149.5</v>
      </c>
      <c r="H54" s="42" t="n">
        <f aca="false">Kosztorys!J11</f>
        <v>799.5</v>
      </c>
      <c r="I54" s="11" t="str">
        <f aca="false">IF(Kosztorys!B11="","",Kosztorys!M11)</f>
        <v>dotacja</v>
      </c>
      <c r="J54" s="42" t="n">
        <f aca="false">IF(Kosztorys!M11="dotacja",Kosztorys!K11,0)</f>
        <v>799.5</v>
      </c>
    </row>
    <row r="55" customFormat="false" ht="15" hidden="false" customHeight="true" outlineLevel="0" collapsed="false">
      <c r="A55" s="72" t="n">
        <f aca="false">IF(Kosztorys!B12="","",Kosztorys!A12)</f>
        <v>8</v>
      </c>
      <c r="B55" s="11" t="str">
        <f aca="false">IF(Kosztorys!B12="","",Kosztorys!B12)</f>
        <v>Środki czystości – koncentraty z dozownikami (Ecolabel), pierwszy zapas na 3 mies.</v>
      </c>
      <c r="C55" s="11" t="str">
        <f aca="false">IF(Kosztorys!B12="","",Kosztorys!C12)</f>
        <v>towar</v>
      </c>
      <c r="D55" s="11" t="str">
        <f aca="false">IF(Kosztorys!B12="","",Kosztorys!D12)</f>
        <v>nowy</v>
      </c>
      <c r="E55" s="70" t="n">
        <f aca="false">Kosztorys!E12</f>
        <v>1</v>
      </c>
      <c r="F55" s="42" t="n">
        <f aca="false">Kosztorys!G12</f>
        <v>1803.25</v>
      </c>
      <c r="G55" s="42" t="n">
        <f aca="false">Kosztorys!I12</f>
        <v>414.75</v>
      </c>
      <c r="H55" s="42" t="n">
        <f aca="false">Kosztorys!J12</f>
        <v>2218</v>
      </c>
      <c r="I55" s="11" t="str">
        <f aca="false">IF(Kosztorys!B12="","",Kosztorys!M12)</f>
        <v>dotacja</v>
      </c>
      <c r="J55" s="42" t="n">
        <f aca="false">IF(Kosztorys!M12="dotacja",Kosztorys!K12,0)</f>
        <v>2218</v>
      </c>
    </row>
    <row r="56" customFormat="false" ht="15" hidden="false" customHeight="true" outlineLevel="0" collapsed="false">
      <c r="A56" s="72" t="n">
        <f aca="false">IF(Kosztorys!B13="","",Kosztorys!A13)</f>
        <v>9</v>
      </c>
      <c r="B56" s="11" t="str">
        <f aca="false">IF(Kosztorys!B13="","",Kosztorys!B13)</f>
        <v>Oklejenie samochodu folią z nazwą i telefonem</v>
      </c>
      <c r="C56" s="11" t="str">
        <f aca="false">IF(Kosztorys!B13="","",Kosztorys!C13)</f>
        <v>reklama</v>
      </c>
      <c r="D56" s="11" t="str">
        <f aca="false">IF(Kosztorys!B13="","",Kosztorys!D13)</f>
        <v>nowy</v>
      </c>
      <c r="E56" s="70" t="n">
        <f aca="false">Kosztorys!E13</f>
        <v>1</v>
      </c>
      <c r="F56" s="42" t="n">
        <f aca="false">Kosztorys!G13</f>
        <v>1300</v>
      </c>
      <c r="G56" s="42" t="n">
        <f aca="false">Kosztorys!I13</f>
        <v>299</v>
      </c>
      <c r="H56" s="42" t="n">
        <f aca="false">Kosztorys!J13</f>
        <v>1599</v>
      </c>
      <c r="I56" s="11" t="str">
        <f aca="false">IF(Kosztorys!B13="","",Kosztorys!M13)</f>
        <v>dotacja</v>
      </c>
      <c r="J56" s="42" t="n">
        <f aca="false">IF(Kosztorys!M13="dotacja",Kosztorys!K13,0)</f>
        <v>1599</v>
      </c>
    </row>
    <row r="57" customFormat="false" ht="15" hidden="false" customHeight="true" outlineLevel="0" collapsed="false">
      <c r="A57" s="72" t="n">
        <f aca="false">IF(Kosztorys!B14="","",Kosztorys!A14)</f>
        <v>10</v>
      </c>
      <c r="B57" s="11" t="str">
        <f aca="false">IF(Kosztorys!B14="","",Kosztorys!B14)</f>
        <v>Strona www – wizytówka z cennikiem i formularzem</v>
      </c>
      <c r="C57" s="11" t="str">
        <f aca="false">IF(Kosztorys!B14="","",Kosztorys!C14)</f>
        <v>reklama</v>
      </c>
      <c r="D57" s="11" t="str">
        <f aca="false">IF(Kosztorys!B14="","",Kosztorys!D14)</f>
        <v>nowy</v>
      </c>
      <c r="E57" s="70" t="n">
        <f aca="false">Kosztorys!E14</f>
        <v>1</v>
      </c>
      <c r="F57" s="42" t="n">
        <f aca="false">Kosztorys!G14</f>
        <v>1500</v>
      </c>
      <c r="G57" s="42" t="n">
        <f aca="false">Kosztorys!I14</f>
        <v>345</v>
      </c>
      <c r="H57" s="42" t="n">
        <f aca="false">Kosztorys!J14</f>
        <v>1845</v>
      </c>
      <c r="I57" s="11" t="str">
        <f aca="false">IF(Kosztorys!B14="","",Kosztorys!M14)</f>
        <v>dotacja</v>
      </c>
      <c r="J57" s="42" t="n">
        <f aca="false">IF(Kosztorys!M14="dotacja",Kosztorys!K14,0)</f>
        <v>1845</v>
      </c>
    </row>
    <row r="58" customFormat="false" ht="15" hidden="false" customHeight="true" outlineLevel="0" collapsed="false">
      <c r="A58" s="72" t="n">
        <f aca="false">IF(Kosztorys!B15="","",Kosztorys!A15)</f>
        <v>11</v>
      </c>
      <c r="B58" s="11" t="str">
        <f aca="false">IF(Kosztorys!B15="","",Kosztorys!B15)</f>
        <v>Parownica Kärcher SC 5 EasyFix (sprzątanie bez chemii)</v>
      </c>
      <c r="C58" s="11" t="str">
        <f aca="false">IF(Kosztorys!B15="","",Kosztorys!C15)</f>
        <v>sprzęt</v>
      </c>
      <c r="D58" s="11" t="str">
        <f aca="false">IF(Kosztorys!B15="","",Kosztorys!D15)</f>
        <v>nowy</v>
      </c>
      <c r="E58" s="70" t="n">
        <f aca="false">Kosztorys!E15</f>
        <v>1</v>
      </c>
      <c r="F58" s="42" t="n">
        <f aca="false">Kosztorys!G15</f>
        <v>1300</v>
      </c>
      <c r="G58" s="42" t="n">
        <f aca="false">Kosztorys!I15</f>
        <v>299</v>
      </c>
      <c r="H58" s="42" t="n">
        <f aca="false">Kosztorys!J15</f>
        <v>1599</v>
      </c>
      <c r="I58" s="11" t="str">
        <f aca="false">IF(Kosztorys!B15="","",Kosztorys!M15)</f>
        <v>wkład własny</v>
      </c>
      <c r="J58" s="42" t="n">
        <f aca="false">IF(Kosztorys!M15="dotacja",Kosztorys!K15,0)</f>
        <v>0</v>
      </c>
    </row>
    <row r="59" customFormat="false" ht="15" hidden="false" customHeight="true" outlineLevel="0" collapsed="false">
      <c r="A59" s="72" t="n">
        <f aca="false">IF(Kosztorys!B16="","",Kosztorys!A16)</f>
        <v>12</v>
      </c>
      <c r="B59" s="11" t="str">
        <f aca="false">IF(Kosztorys!B16="","",Kosztorys!B16)</f>
        <v>Zestaw do mycia okien Unger (ściągaczki, kij teleskopowy, wiadro)</v>
      </c>
      <c r="C59" s="11" t="str">
        <f aca="false">IF(Kosztorys!B16="","",Kosztorys!C16)</f>
        <v>sprzęt</v>
      </c>
      <c r="D59" s="11" t="str">
        <f aca="false">IF(Kosztorys!B16="","",Kosztorys!D16)</f>
        <v>nowy</v>
      </c>
      <c r="E59" s="70" t="n">
        <f aca="false">Kosztorys!E16</f>
        <v>1</v>
      </c>
      <c r="F59" s="42" t="n">
        <f aca="false">Kosztorys!G16</f>
        <v>700</v>
      </c>
      <c r="G59" s="42" t="n">
        <f aca="false">Kosztorys!I16</f>
        <v>161</v>
      </c>
      <c r="H59" s="42" t="n">
        <f aca="false">Kosztorys!J16</f>
        <v>861</v>
      </c>
      <c r="I59" s="11" t="str">
        <f aca="false">IF(Kosztorys!B16="","",Kosztorys!M16)</f>
        <v>wkład własny</v>
      </c>
      <c r="J59" s="42" t="n">
        <f aca="false">IF(Kosztorys!M16="dotacja",Kosztorys!K16,0)</f>
        <v>0</v>
      </c>
    </row>
    <row r="60" customFormat="false" ht="15" hidden="false" customHeight="true" outlineLevel="0" collapsed="false">
      <c r="A60" s="72" t="n">
        <f aca="false">IF(Kosztorys!B17="","",Kosztorys!A17)</f>
        <v>13</v>
      </c>
      <c r="B60" s="11" t="str">
        <f aca="false">IF(Kosztorys!B17="","",Kosztorys!B17)</f>
        <v>Drabina aluminiowa 3 × 9 szczebli</v>
      </c>
      <c r="C60" s="11" t="str">
        <f aca="false">IF(Kosztorys!B17="","",Kosztorys!C17)</f>
        <v>sprzęt</v>
      </c>
      <c r="D60" s="11" t="str">
        <f aca="false">IF(Kosztorys!B17="","",Kosztorys!D17)</f>
        <v>nowy</v>
      </c>
      <c r="E60" s="70" t="n">
        <f aca="false">Kosztorys!E17</f>
        <v>1</v>
      </c>
      <c r="F60" s="42" t="n">
        <f aca="false">Kosztorys!G17</f>
        <v>600</v>
      </c>
      <c r="G60" s="42" t="n">
        <f aca="false">Kosztorys!I17</f>
        <v>138</v>
      </c>
      <c r="H60" s="42" t="n">
        <f aca="false">Kosztorys!J17</f>
        <v>738</v>
      </c>
      <c r="I60" s="11" t="str">
        <f aca="false">IF(Kosztorys!B17="","",Kosztorys!M17)</f>
        <v>wkład własny</v>
      </c>
      <c r="J60" s="42" t="n">
        <f aca="false">IF(Kosztorys!M17="dotacja",Kosztorys!K17,0)</f>
        <v>0</v>
      </c>
    </row>
    <row r="61" customFormat="false" ht="15" hidden="false" customHeight="true" outlineLevel="0" collapsed="false">
      <c r="A61" s="72" t="n">
        <f aca="false">IF(Kosztorys!B18="","",Kosztorys!A18)</f>
        <v>14</v>
      </c>
      <c r="B61" s="11" t="str">
        <f aca="false">IF(Kosztorys!B18="","",Kosztorys!B18)</f>
        <v>Ulotki i wizytówki</v>
      </c>
      <c r="C61" s="11" t="str">
        <f aca="false">IF(Kosztorys!B18="","",Kosztorys!C18)</f>
        <v>reklama</v>
      </c>
      <c r="D61" s="11" t="str">
        <f aca="false">IF(Kosztorys!B18="","",Kosztorys!D18)</f>
        <v>nowy</v>
      </c>
      <c r="E61" s="70" t="n">
        <f aca="false">Kosztorys!E18</f>
        <v>1</v>
      </c>
      <c r="F61" s="42" t="n">
        <f aca="false">Kosztorys!G18</f>
        <v>450</v>
      </c>
      <c r="G61" s="42" t="n">
        <f aca="false">Kosztorys!I18</f>
        <v>103.5</v>
      </c>
      <c r="H61" s="42" t="n">
        <f aca="false">Kosztorys!J18</f>
        <v>553.5</v>
      </c>
      <c r="I61" s="11" t="str">
        <f aca="false">IF(Kosztorys!B18="","",Kosztorys!M18)</f>
        <v>wkład własny</v>
      </c>
      <c r="J61" s="42" t="n">
        <f aca="false">IF(Kosztorys!M18="dotacja",Kosztorys!K18,0)</f>
        <v>0</v>
      </c>
    </row>
    <row r="62" customFormat="false" ht="15" hidden="false" customHeight="true" outlineLevel="0" collapsed="false">
      <c r="A62" s="72" t="n">
        <f aca="false">IF(Kosztorys!B19="","",Kosztorys!A19)</f>
        <v>15</v>
      </c>
      <c r="B62" s="11" t="str">
        <f aca="false">IF(Kosztorys!B19="","",Kosztorys!B19)</f>
        <v>Odzież robocza i obuwie ochronne</v>
      </c>
      <c r="C62" s="11" t="str">
        <f aca="false">IF(Kosztorys!B19="","",Kosztorys!C19)</f>
        <v>inne</v>
      </c>
      <c r="D62" s="11" t="str">
        <f aca="false">IF(Kosztorys!B19="","",Kosztorys!D19)</f>
        <v>nowy</v>
      </c>
      <c r="E62" s="70" t="n">
        <f aca="false">Kosztorys!E19</f>
        <v>1</v>
      </c>
      <c r="F62" s="42" t="n">
        <f aca="false">Kosztorys!G19</f>
        <v>300</v>
      </c>
      <c r="G62" s="42" t="n">
        <f aca="false">Kosztorys!I19</f>
        <v>69</v>
      </c>
      <c r="H62" s="42" t="n">
        <f aca="false">Kosztorys!J19</f>
        <v>369</v>
      </c>
      <c r="I62" s="11" t="str">
        <f aca="false">IF(Kosztorys!B19="","",Kosztorys!M19)</f>
        <v>wkład własny</v>
      </c>
      <c r="J62" s="42" t="n">
        <f aca="false">IF(Kosztorys!M19="dotacja",Kosztorys!K19,0)</f>
        <v>0</v>
      </c>
    </row>
    <row r="63" customFormat="false" ht="15" hidden="false" customHeight="true" outlineLevel="0" collapsed="false">
      <c r="A63" s="72" t="n">
        <f aca="false">IF(Kosztorys!B20="","",Kosztorys!A20)</f>
        <v>16</v>
      </c>
      <c r="B63" s="11" t="str">
        <f aca="false">IF(Kosztorys!B20="","",Kosztorys!B20)</f>
        <v>Środki czystości – druga część zapasu</v>
      </c>
      <c r="C63" s="11" t="str">
        <f aca="false">IF(Kosztorys!B20="","",Kosztorys!C20)</f>
        <v>towar</v>
      </c>
      <c r="D63" s="11" t="str">
        <f aca="false">IF(Kosztorys!B20="","",Kosztorys!D20)</f>
        <v>nowy</v>
      </c>
      <c r="E63" s="70" t="n">
        <f aca="false">Kosztorys!E20</f>
        <v>1</v>
      </c>
      <c r="F63" s="42" t="n">
        <f aca="false">Kosztorys!G20</f>
        <v>1000</v>
      </c>
      <c r="G63" s="42" t="n">
        <f aca="false">Kosztorys!I20</f>
        <v>230</v>
      </c>
      <c r="H63" s="42" t="n">
        <f aca="false">Kosztorys!J20</f>
        <v>1230</v>
      </c>
      <c r="I63" s="11" t="str">
        <f aca="false">IF(Kosztorys!B20="","",Kosztorys!M20)</f>
        <v>wkład własny</v>
      </c>
      <c r="J63" s="42" t="n">
        <f aca="false">IF(Kosztorys!M20="dotacja",Kosztorys!K20,0)</f>
        <v>0</v>
      </c>
    </row>
    <row r="64" customFormat="false" ht="15" hidden="false" customHeight="true" outlineLevel="0" collapsed="false">
      <c r="A64" s="72" t="str">
        <f aca="false">IF(Kosztorys!B21="","",Kosztorys!A21)</f>
        <v/>
      </c>
      <c r="B64" s="11" t="str">
        <f aca="false">IF(Kosztorys!B21="","",Kosztorys!B21)</f>
        <v/>
      </c>
      <c r="C64" s="11" t="str">
        <f aca="false">IF(Kosztorys!B21="","",Kosztorys!C21)</f>
        <v/>
      </c>
      <c r="D64" s="11" t="str">
        <f aca="false">IF(Kosztorys!B21="","",Kosztorys!D21)</f>
        <v/>
      </c>
      <c r="E64" s="70" t="n">
        <f aca="false">Kosztorys!E21</f>
        <v>0</v>
      </c>
      <c r="F64" s="42" t="n">
        <f aca="false">Kosztorys!G21</f>
        <v>0</v>
      </c>
      <c r="G64" s="42" t="n">
        <f aca="false">Kosztorys!I21</f>
        <v>0</v>
      </c>
      <c r="H64" s="42" t="n">
        <f aca="false">Kosztorys!J21</f>
        <v>0</v>
      </c>
      <c r="I64" s="11" t="str">
        <f aca="false">IF(Kosztorys!B21="","",Kosztorys!M21)</f>
        <v/>
      </c>
      <c r="J64" s="42" t="n">
        <f aca="false">IF(Kosztorys!M21="dotacja",Kosztorys!K21,0)</f>
        <v>0</v>
      </c>
    </row>
    <row r="65" customFormat="false" ht="15" hidden="false" customHeight="true" outlineLevel="0" collapsed="false">
      <c r="A65" s="11" t="str">
        <f aca="false">IF(Kosztorys!B22="","",Kosztorys!A22)</f>
        <v/>
      </c>
      <c r="B65" s="11" t="str">
        <f aca="false">IF(Kosztorys!B22="","",Kosztorys!B22)</f>
        <v/>
      </c>
      <c r="C65" s="11" t="str">
        <f aca="false">IF(Kosztorys!B22="","",Kosztorys!C22)</f>
        <v/>
      </c>
      <c r="D65" s="11" t="str">
        <f aca="false">IF(Kosztorys!B22="","",Kosztorys!D22)</f>
        <v/>
      </c>
      <c r="E65" s="70" t="n">
        <f aca="false">Kosztorys!E22</f>
        <v>0</v>
      </c>
      <c r="F65" s="42" t="n">
        <f aca="false">Kosztorys!G22</f>
        <v>0</v>
      </c>
      <c r="G65" s="42" t="n">
        <f aca="false">Kosztorys!I22</f>
        <v>0</v>
      </c>
      <c r="H65" s="42" t="n">
        <f aca="false">Kosztorys!J22</f>
        <v>0</v>
      </c>
      <c r="I65" s="11" t="str">
        <f aca="false">IF(Kosztorys!B22="","",Kosztorys!M22)</f>
        <v/>
      </c>
      <c r="J65" s="42" t="n">
        <f aca="false">IF(Kosztorys!M22="dotacja",Kosztorys!K22,0)</f>
        <v>0</v>
      </c>
    </row>
    <row r="66" customFormat="false" ht="15" hidden="false" customHeight="true" outlineLevel="0" collapsed="false">
      <c r="A66" s="11" t="str">
        <f aca="false">IF(Kosztorys!B23="","",Kosztorys!A23)</f>
        <v/>
      </c>
      <c r="B66" s="11" t="str">
        <f aca="false">IF(Kosztorys!B23="","",Kosztorys!B23)</f>
        <v/>
      </c>
      <c r="C66" s="11" t="str">
        <f aca="false">IF(Kosztorys!B23="","",Kosztorys!C23)</f>
        <v/>
      </c>
      <c r="D66" s="11" t="str">
        <f aca="false">IF(Kosztorys!B23="","",Kosztorys!D23)</f>
        <v/>
      </c>
      <c r="E66" s="70" t="n">
        <f aca="false">Kosztorys!E23</f>
        <v>0</v>
      </c>
      <c r="F66" s="42" t="n">
        <f aca="false">Kosztorys!G23</f>
        <v>0</v>
      </c>
      <c r="G66" s="42" t="n">
        <f aca="false">Kosztorys!I23</f>
        <v>0</v>
      </c>
      <c r="H66" s="42" t="n">
        <f aca="false">Kosztorys!J23</f>
        <v>0</v>
      </c>
      <c r="I66" s="11" t="str">
        <f aca="false">IF(Kosztorys!B23="","",Kosztorys!M23)</f>
        <v/>
      </c>
      <c r="J66" s="42" t="n">
        <f aca="false">IF(Kosztorys!M23="dotacja",Kosztorys!K23,0)</f>
        <v>0</v>
      </c>
    </row>
    <row r="67" customFormat="false" ht="15" hidden="false" customHeight="true" outlineLevel="0" collapsed="false">
      <c r="A67" s="11" t="str">
        <f aca="false">IF(Kosztorys!B24="","",Kosztorys!A24)</f>
        <v/>
      </c>
      <c r="B67" s="11" t="str">
        <f aca="false">IF(Kosztorys!B24="","",Kosztorys!B24)</f>
        <v/>
      </c>
      <c r="C67" s="11" t="str">
        <f aca="false">IF(Kosztorys!B24="","",Kosztorys!C24)</f>
        <v/>
      </c>
      <c r="D67" s="11" t="str">
        <f aca="false">IF(Kosztorys!B24="","",Kosztorys!D24)</f>
        <v/>
      </c>
      <c r="E67" s="70" t="n">
        <f aca="false">Kosztorys!E24</f>
        <v>0</v>
      </c>
      <c r="F67" s="42" t="n">
        <f aca="false">Kosztorys!G24</f>
        <v>0</v>
      </c>
      <c r="G67" s="42" t="n">
        <f aca="false">Kosztorys!I24</f>
        <v>0</v>
      </c>
      <c r="H67" s="42" t="n">
        <f aca="false">Kosztorys!J24</f>
        <v>0</v>
      </c>
      <c r="I67" s="11" t="str">
        <f aca="false">IF(Kosztorys!B24="","",Kosztorys!M24)</f>
        <v/>
      </c>
      <c r="J67" s="42" t="n">
        <f aca="false">IF(Kosztorys!M24="dotacja",Kosztorys!K24,0)</f>
        <v>0</v>
      </c>
    </row>
    <row r="68" customFormat="false" ht="15" hidden="false" customHeight="true" outlineLevel="0" collapsed="false">
      <c r="A68" s="40"/>
      <c r="B68" s="40" t="s">
        <v>257</v>
      </c>
      <c r="C68" s="40"/>
      <c r="D68" s="40"/>
      <c r="E68" s="40"/>
      <c r="F68" s="41" t="n">
        <f aca="false">SUM(F48:F67)</f>
        <v>24553.25</v>
      </c>
      <c r="G68" s="41" t="n">
        <f aca="false">SUM(G48:G67)</f>
        <v>5647.25</v>
      </c>
      <c r="H68" s="41" t="n">
        <f aca="false">SUM(H48:H67)</f>
        <v>30200.5</v>
      </c>
      <c r="I68" s="40"/>
      <c r="J68" s="41" t="n">
        <f aca="false">SUM(J48:J67)</f>
        <v>24850</v>
      </c>
    </row>
    <row r="69" customFormat="false" ht="15" hidden="false" customHeight="true" outlineLevel="0" collapsed="false">
      <c r="B69" s="6" t="s">
        <v>429</v>
      </c>
      <c r="J69" s="42" t="n">
        <f aca="false">Dotacja</f>
        <v>24850</v>
      </c>
    </row>
    <row r="70" customFormat="false" ht="15" hidden="false" customHeight="true" outlineLevel="0" collapsed="false">
      <c r="B70" s="6" t="s">
        <v>430</v>
      </c>
      <c r="J70" s="42" t="n">
        <f aca="false">WkladWlasny</f>
        <v>8000</v>
      </c>
    </row>
    <row r="73" customFormat="false" ht="15" hidden="false" customHeight="true" outlineLevel="0" collapsed="false">
      <c r="A73" s="16" t="s">
        <v>431</v>
      </c>
    </row>
    <row r="74" customFormat="false" ht="30" hidden="false" customHeight="true" outlineLevel="0" collapsed="false">
      <c r="A74" s="4" t="s">
        <v>373</v>
      </c>
      <c r="B74" s="4"/>
      <c r="C74" s="4" t="s">
        <v>432</v>
      </c>
      <c r="D74" s="4" t="s">
        <v>433</v>
      </c>
      <c r="E74" s="4" t="s">
        <v>77</v>
      </c>
    </row>
    <row r="75" customFormat="false" ht="15" hidden="false" customHeight="true" outlineLevel="0" collapsed="false">
      <c r="A75" s="65" t="s">
        <v>434</v>
      </c>
      <c r="B75" s="65"/>
      <c r="C75" s="42" t="n">
        <f aca="false">Prognoza!C19</f>
        <v>83080</v>
      </c>
      <c r="D75" s="42" t="n">
        <f aca="false">Prognoza!M19</f>
        <v>58156</v>
      </c>
      <c r="E75" s="3"/>
    </row>
    <row r="76" customFormat="false" ht="15" hidden="false" customHeight="true" outlineLevel="0" collapsed="false">
      <c r="A76" s="65" t="s">
        <v>435</v>
      </c>
      <c r="B76" s="65"/>
      <c r="C76" s="42" t="n">
        <f aca="false">Prognoza!G19</f>
        <v>26237.34</v>
      </c>
      <c r="D76" s="42" t="n">
        <f aca="false">Prognoza!N19</f>
        <v>23828.22</v>
      </c>
      <c r="E76" s="3" t="s">
        <v>436</v>
      </c>
    </row>
    <row r="77" customFormat="false" ht="15" hidden="false" customHeight="true" outlineLevel="0" collapsed="false">
      <c r="A77" s="65" t="s">
        <v>437</v>
      </c>
      <c r="B77" s="65"/>
      <c r="C77" s="42" t="n">
        <f aca="false">Prognoza!H19</f>
        <v>56842.66</v>
      </c>
      <c r="D77" s="42" t="n">
        <f aca="false">Prognoza!O19</f>
        <v>34327.78</v>
      </c>
      <c r="E77" s="3"/>
    </row>
    <row r="78" customFormat="false" ht="15" hidden="false" customHeight="true" outlineLevel="0" collapsed="false">
      <c r="A78" s="65" t="s">
        <v>438</v>
      </c>
      <c r="B78" s="65"/>
      <c r="C78" s="42" t="n">
        <f aca="false">Prognoza!I19</f>
        <v>6546</v>
      </c>
      <c r="D78" s="42" t="n">
        <f aca="false">Prognoza!P19</f>
        <v>4457</v>
      </c>
      <c r="E78" s="3"/>
    </row>
    <row r="79" customFormat="false" ht="15" hidden="false" customHeight="true" outlineLevel="0" collapsed="false">
      <c r="A79" s="67" t="s">
        <v>439</v>
      </c>
      <c r="B79" s="67"/>
      <c r="C79" s="42" t="n">
        <f aca="false">Prognoza!J19</f>
        <v>50296.66</v>
      </c>
      <c r="D79" s="42" t="n">
        <f aca="false">Prognoza!Q19</f>
        <v>29870.78</v>
      </c>
      <c r="E79" s="3"/>
    </row>
    <row r="80" customFormat="false" ht="15" hidden="false" customHeight="true" outlineLevel="0" collapsed="false">
      <c r="A80" s="65" t="s">
        <v>440</v>
      </c>
      <c r="B80" s="65"/>
      <c r="C80" s="25" t="n">
        <f aca="false">C79/12</f>
        <v>4191.38833333333</v>
      </c>
      <c r="D80" s="25" t="n">
        <f aca="false">D79/12</f>
        <v>2489.23166666667</v>
      </c>
      <c r="E80" s="3"/>
    </row>
    <row r="81" customFormat="false" ht="15" hidden="false" customHeight="true" outlineLevel="0" collapsed="false">
      <c r="A81" s="65" t="s">
        <v>441</v>
      </c>
      <c r="B81" s="65"/>
      <c r="C81" s="57" t="n">
        <f aca="false">IF(C75&gt;0,C79/C75,0)</f>
        <v>0.605400337024555</v>
      </c>
      <c r="D81" s="57" t="n">
        <f aca="false">IF(D75&gt;0,D79/D75,0)</f>
        <v>0.513631955430222</v>
      </c>
      <c r="E81" s="3" t="s">
        <v>442</v>
      </c>
    </row>
    <row r="82" customFormat="false" ht="15" hidden="false" customHeight="true" outlineLevel="0" collapsed="false">
      <c r="A82" s="65" t="s">
        <v>443</v>
      </c>
      <c r="B82" s="65"/>
      <c r="C82" s="42" t="n">
        <f aca="false">ProgRentPrzychod</f>
        <v>1829.90501792115</v>
      </c>
      <c r="D82" s="42" t="n">
        <f aca="false">ProgRentPrzychod</f>
        <v>1829.90501792115</v>
      </c>
      <c r="E82" s="3" t="s">
        <v>444</v>
      </c>
    </row>
    <row r="83" customFormat="false" ht="15" hidden="false" customHeight="true" outlineLevel="0" collapsed="false">
      <c r="A83" s="65" t="s">
        <v>445</v>
      </c>
      <c r="B83" s="65"/>
      <c r="C83" s="70" t="n">
        <f aca="false">ProgRentSzt</f>
        <v>19</v>
      </c>
      <c r="D83" s="70" t="n">
        <f aca="false">ProgRentSzt</f>
        <v>19</v>
      </c>
      <c r="E83" s="3"/>
    </row>
    <row r="84" customFormat="false" ht="15" hidden="false" customHeight="true" outlineLevel="0" collapsed="false">
      <c r="A84" s="65" t="s">
        <v>446</v>
      </c>
      <c r="B84" s="65"/>
      <c r="C84" s="66" t="n">
        <f aca="false">IF(Dotacja&gt;0,C79/Dotacja,0)</f>
        <v>2.02401046277666</v>
      </c>
      <c r="D84" s="66" t="n">
        <f aca="false">IF(Dotacja&gt;0,D79/Dotacja,0)</f>
        <v>1.20204346076459</v>
      </c>
      <c r="E84" s="3" t="s">
        <v>447</v>
      </c>
    </row>
    <row r="85" customFormat="false" ht="15" hidden="false" customHeight="true" outlineLevel="0" collapsed="false">
      <c r="A85" s="65" t="s">
        <v>448</v>
      </c>
      <c r="B85" s="65"/>
      <c r="C85" s="56" t="n">
        <f aca="false">IF(C80&gt;0,Dotacja/C80,"nie zwraca się")</f>
        <v>5.92882310674307</v>
      </c>
      <c r="D85" s="56" t="n">
        <f aca="false">IF(D80&gt;0,Dotacja/D80,"nie zwraca się")</f>
        <v>9.98300010913676</v>
      </c>
      <c r="E85" s="3" t="s">
        <v>449</v>
      </c>
    </row>
    <row r="86" customFormat="false" ht="15" hidden="false" customHeight="true" outlineLevel="0" collapsed="false">
      <c r="A86" s="65" t="s">
        <v>450</v>
      </c>
      <c r="B86" s="65"/>
      <c r="C86" s="42" t="n">
        <f aca="false">Prognoza!K19</f>
        <v>52946.16</v>
      </c>
      <c r="D86" s="42" t="n">
        <f aca="false">Prognoza!R19</f>
        <v>32520.28</v>
      </c>
      <c r="E86" s="3"/>
    </row>
    <row r="87" customFormat="false" ht="15" hidden="false" customHeight="true" outlineLevel="0" collapsed="false">
      <c r="A87" s="65" t="s">
        <v>451</v>
      </c>
      <c r="B87" s="65"/>
      <c r="C87" s="42" t="n">
        <f aca="false">MIN(Prognoza!K5:K17)</f>
        <v>2649.5</v>
      </c>
      <c r="D87" s="42" t="n">
        <f aca="false">MIN(Prognoza!R5:R17)</f>
        <v>2649.5</v>
      </c>
      <c r="E87" s="3" t="s">
        <v>452</v>
      </c>
    </row>
  </sheetData>
  <mergeCells count="13"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2026-10-14T19:21:00Z</dcterms:created>
  <dc:creator>openpyxl</dc:creator>
  <dc:description/>
  <dc:language>en-US</dc:language>
  <cp:lastModifiedBy/>
  <dcterms:modified xsi:type="dcterms:W3CDTF">2026-10-14T21:16:12Z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